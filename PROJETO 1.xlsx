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2efc864c877ab1/Área de Trabalho/organização/DIO projeto/"/>
    </mc:Choice>
  </mc:AlternateContent>
  <xr:revisionPtr revIDLastSave="6" documentId="8_{C4D234B2-5C41-4C68-AFB9-6DA7473C7E9C}" xr6:coauthVersionLast="47" xr6:coauthVersionMax="47" xr10:uidLastSave="{5E2CB17E-5A15-459B-A8E2-BDC6BC01717C}"/>
  <bookViews>
    <workbookView xWindow="-108" yWindow="-108" windowWidth="23256" windowHeight="12576" tabRatio="143" xr2:uid="{494D96C0-4635-4596-93CD-E8BDF71CD16E}"/>
  </bookViews>
  <sheets>
    <sheet name="Planilha1" sheetId="1" r:id="rId1"/>
    <sheet name="Planilha2" sheetId="2" r:id="rId2"/>
  </sheets>
  <definedNames>
    <definedName name="Aporte">Planilha1!$E$24</definedName>
    <definedName name="aporte_por_perfil">Planilha1!$E$47</definedName>
    <definedName name="dividendo_mensal">Planilha1!$E$27</definedName>
    <definedName name="dividendos">Planilha1!$F$19</definedName>
    <definedName name="dividendos_FII">Planilha1!$F$19</definedName>
    <definedName name="Inflação_media">Planilha1!$F$17</definedName>
    <definedName name="patrimonio">Planilha1!$E$26</definedName>
    <definedName name="Perfi_investidor">Planilha1!$E$46</definedName>
    <definedName name="qnt_anos">Planilha1!$E$25</definedName>
    <definedName name="Rendimento_Carteira">Planilha1!#REF!</definedName>
    <definedName name="Salario">Planilha1!$E$17</definedName>
    <definedName name="Salário">Planilha1!$E$17</definedName>
    <definedName name="sugestao_investimento">Planilha1!$E$19</definedName>
    <definedName name="taxa_mensal">Planilha1!$E$18</definedName>
    <definedName name="valorização_FII">Planilha1!$F$21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E18" i="1" s="1"/>
  <c r="C50" i="1"/>
  <c r="F17" i="1"/>
  <c r="E19" i="1"/>
  <c r="E24" i="1" s="1"/>
  <c r="H35" i="2"/>
  <c r="B10" i="2"/>
  <c r="B11" i="2"/>
  <c r="B12" i="2"/>
  <c r="C49" i="1" s="1"/>
  <c r="B13" i="2"/>
  <c r="C51" i="1" s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9" i="2"/>
  <c r="C31" i="1" l="1"/>
  <c r="C34" i="1"/>
  <c r="E34" i="1" s="1"/>
  <c r="C33" i="1"/>
  <c r="E33" i="1" s="1"/>
  <c r="C32" i="1"/>
  <c r="E32" i="1" s="1"/>
  <c r="C30" i="1"/>
  <c r="D30" i="1" s="1"/>
  <c r="E26" i="1"/>
  <c r="E27" i="1" s="1"/>
  <c r="E47" i="1"/>
  <c r="E49" i="1" s="1"/>
  <c r="C54" i="1"/>
  <c r="C52" i="1"/>
  <c r="C53" i="1"/>
  <c r="D33" i="1" l="1"/>
  <c r="E30" i="1"/>
  <c r="E50" i="1"/>
  <c r="E51" i="1"/>
  <c r="E31" i="1"/>
  <c r="D31" i="1"/>
  <c r="D34" i="1"/>
  <c r="D32" i="1"/>
  <c r="E52" i="1"/>
  <c r="E53" i="1"/>
  <c r="E54" i="1"/>
  <c r="E55" i="1" l="1"/>
</calcChain>
</file>

<file path=xl/sharedStrings.xml><?xml version="1.0" encoding="utf-8"?>
<sst xmlns="http://schemas.openxmlformats.org/spreadsheetml/2006/main" count="83" uniqueCount="47">
  <si>
    <t>Quanto Investir Por Mês?</t>
  </si>
  <si>
    <t xml:space="preserve">Patrimônio acumulado? </t>
  </si>
  <si>
    <t>Dividendo Mensais?</t>
  </si>
  <si>
    <t>INVESTIMENTO MENSAL</t>
  </si>
  <si>
    <t>Patrimonio em 2 anos</t>
  </si>
  <si>
    <t>Patrimonio em 5 anos</t>
  </si>
  <si>
    <t>Patrimonio em 10 anos</t>
  </si>
  <si>
    <t>Patrimonio em 20 anos</t>
  </si>
  <si>
    <t>Patrimonio em 30 anos</t>
  </si>
  <si>
    <t>CONFIGURAÇÕES</t>
  </si>
  <si>
    <t xml:space="preserve">Salário </t>
  </si>
  <si>
    <t xml:space="preserve">Sugestão De Investimento </t>
  </si>
  <si>
    <t>DIVIDENDOS MENSAIS</t>
  </si>
  <si>
    <t>ANOS DE INVESTIMENTO</t>
  </si>
  <si>
    <t>TIPO DE FII</t>
  </si>
  <si>
    <t xml:space="preserve">PERCENTUAL SUGERIDO </t>
  </si>
  <si>
    <t>VALOR DE APORTE</t>
  </si>
  <si>
    <t>PERFIL</t>
  </si>
  <si>
    <t>conservador</t>
  </si>
  <si>
    <t>valores</t>
  </si>
  <si>
    <t>chave</t>
  </si>
  <si>
    <t>moderado</t>
  </si>
  <si>
    <t>agressivo</t>
  </si>
  <si>
    <t>PERFIL DO INVESTIDOR</t>
  </si>
  <si>
    <t>Papel</t>
  </si>
  <si>
    <t>Tijolo</t>
  </si>
  <si>
    <t>Hibridos</t>
  </si>
  <si>
    <t>Desenvolvimento</t>
  </si>
  <si>
    <t>Hotelaria</t>
  </si>
  <si>
    <t>FOFs</t>
  </si>
  <si>
    <t xml:space="preserve">inflação </t>
  </si>
  <si>
    <t>ano</t>
  </si>
  <si>
    <t>média</t>
  </si>
  <si>
    <t>INFLAÇÃO MÉDIA XXI</t>
  </si>
  <si>
    <t>Cenário</t>
  </si>
  <si>
    <t>Otimista</t>
  </si>
  <si>
    <t>Retorno Total Mensal</t>
  </si>
  <si>
    <t>Por Quantos Anos?</t>
  </si>
  <si>
    <t>Moderado</t>
  </si>
  <si>
    <t>Pessimista</t>
  </si>
  <si>
    <t>cenário</t>
  </si>
  <si>
    <t>Dividendos FII</t>
  </si>
  <si>
    <t>Valorização</t>
  </si>
  <si>
    <t>PATRIMÔNIO NOMINAL</t>
  </si>
  <si>
    <t>PATRIMÔNIO REAL</t>
  </si>
  <si>
    <t>anos do cenário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</si>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</sst>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7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D2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4659260841701"/>
      </bottom>
      <diagonal/>
    </border>
    <border>
      <left/>
      <right/>
      <top style="medium">
        <color indexed="64"/>
      </top>
      <bottom style="thin">
        <color theme="2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/>
      <top/>
      <bottom style="thin">
        <color theme="2" tint="-0.24994659260841701"/>
      </bottom>
      <diagonal/>
    </border>
    <border>
      <left/>
      <right style="medium">
        <color indexed="64"/>
      </right>
      <top/>
      <bottom style="thin">
        <color theme="2" tint="-0.24994659260841701"/>
      </bottom>
      <diagonal/>
    </border>
    <border>
      <left style="medium">
        <color rgb="FF9F9F9F"/>
      </left>
      <right style="medium">
        <color rgb="FFCFCFCF"/>
      </right>
      <top style="medium">
        <color rgb="FF9F9F9F"/>
      </top>
      <bottom style="medium">
        <color rgb="FFCFCFCF"/>
      </bottom>
      <diagonal/>
    </border>
    <border>
      <left/>
      <right style="medium">
        <color rgb="FF9F9F9F"/>
      </right>
      <top style="medium">
        <color rgb="FF9F9F9F"/>
      </top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/>
      <right style="medium">
        <color rgb="FF9F9F9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9" fontId="0" fillId="0" borderId="0" xfId="2" applyFont="1"/>
    <xf numFmtId="0" fontId="6" fillId="4" borderId="1" xfId="0" applyFont="1" applyFill="1" applyBorder="1" applyAlignment="1">
      <alignment horizontal="center" vertical="center"/>
    </xf>
    <xf numFmtId="8" fontId="4" fillId="5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 indent="2"/>
    </xf>
    <xf numFmtId="0" fontId="5" fillId="6" borderId="4" xfId="0" applyFont="1" applyFill="1" applyBorder="1" applyAlignment="1"/>
    <xf numFmtId="164" fontId="4" fillId="0" borderId="6" xfId="0" applyNumberFormat="1" applyFont="1" applyBorder="1" applyAlignment="1">
      <alignment horizontal="center" vertical="center"/>
    </xf>
    <xf numFmtId="44" fontId="3" fillId="4" borderId="4" xfId="1" applyFont="1" applyFill="1" applyBorder="1" applyAlignment="1"/>
    <xf numFmtId="164" fontId="4" fillId="0" borderId="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8" fontId="4" fillId="5" borderId="6" xfId="0" applyNumberFormat="1" applyFont="1" applyFill="1" applyBorder="1" applyAlignment="1">
      <alignment horizontal="center" vertical="center"/>
    </xf>
    <xf numFmtId="8" fontId="4" fillId="5" borderId="9" xfId="0" applyNumberFormat="1" applyFont="1" applyFill="1" applyBorder="1" applyAlignment="1">
      <alignment horizontal="center" vertical="center"/>
    </xf>
    <xf numFmtId="0" fontId="5" fillId="4" borderId="4" xfId="0" applyFont="1" applyFill="1" applyBorder="1"/>
    <xf numFmtId="8" fontId="4" fillId="5" borderId="8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left" vertical="center" wrapText="1"/>
    </xf>
    <xf numFmtId="0" fontId="7" fillId="9" borderId="17" xfId="0" applyFont="1" applyFill="1" applyBorder="1" applyAlignment="1">
      <alignment horizontal="left" vertical="center" wrapText="1"/>
    </xf>
    <xf numFmtId="0" fontId="7" fillId="8" borderId="17" xfId="0" applyFont="1" applyFill="1" applyBorder="1" applyAlignment="1">
      <alignment horizontal="left" vertical="center" wrapText="1"/>
    </xf>
    <xf numFmtId="0" fontId="7" fillId="9" borderId="19" xfId="0" applyFont="1" applyFill="1" applyBorder="1" applyAlignment="1">
      <alignment horizontal="left" vertical="center" wrapText="1"/>
    </xf>
    <xf numFmtId="0" fontId="7" fillId="7" borderId="21" xfId="0" applyFont="1" applyFill="1" applyBorder="1" applyAlignment="1">
      <alignment vertical="center" wrapText="1"/>
    </xf>
    <xf numFmtId="10" fontId="7" fillId="8" borderId="16" xfId="2" applyNumberFormat="1" applyFont="1" applyFill="1" applyBorder="1" applyAlignment="1">
      <alignment horizontal="right" vertical="center" wrapText="1"/>
    </xf>
    <xf numFmtId="10" fontId="7" fillId="9" borderId="18" xfId="2" applyNumberFormat="1" applyFont="1" applyFill="1" applyBorder="1" applyAlignment="1">
      <alignment horizontal="right" vertical="center" wrapText="1"/>
    </xf>
    <xf numFmtId="10" fontId="7" fillId="8" borderId="18" xfId="2" applyNumberFormat="1" applyFont="1" applyFill="1" applyBorder="1" applyAlignment="1">
      <alignment horizontal="right" vertical="center" wrapText="1"/>
    </xf>
    <xf numFmtId="10" fontId="7" fillId="9" borderId="20" xfId="2" applyNumberFormat="1" applyFont="1" applyFill="1" applyBorder="1" applyAlignment="1">
      <alignment horizontal="right" vertical="center" wrapText="1"/>
    </xf>
    <xf numFmtId="10" fontId="7" fillId="7" borderId="22" xfId="2" applyNumberFormat="1" applyFont="1" applyFill="1" applyBorder="1" applyAlignment="1">
      <alignment vertical="center" wrapText="1"/>
    </xf>
    <xf numFmtId="10" fontId="0" fillId="0" borderId="9" xfId="0" applyNumberFormat="1" applyBorder="1" applyAlignment="1">
      <alignment horizontal="center" vertical="center"/>
    </xf>
    <xf numFmtId="10" fontId="0" fillId="0" borderId="0" xfId="2" applyNumberFormat="1" applyFont="1"/>
    <xf numFmtId="9" fontId="4" fillId="0" borderId="0" xfId="2" applyFont="1" applyBorder="1"/>
    <xf numFmtId="164" fontId="4" fillId="0" borderId="6" xfId="3" applyNumberFormat="1" applyFont="1" applyBorder="1"/>
    <xf numFmtId="0" fontId="4" fillId="2" borderId="5" xfId="0" applyFont="1" applyFill="1" applyBorder="1" applyAlignment="1">
      <alignment horizontal="left" vertical="top" indent="4"/>
    </xf>
    <xf numFmtId="0" fontId="4" fillId="2" borderId="5" xfId="0" applyFont="1" applyFill="1" applyBorder="1" applyAlignment="1">
      <alignment horizontal="left" indent="4"/>
    </xf>
    <xf numFmtId="0" fontId="4" fillId="2" borderId="7" xfId="0" applyFont="1" applyFill="1" applyBorder="1"/>
    <xf numFmtId="0" fontId="4" fillId="2" borderId="8" xfId="0" applyFont="1" applyFill="1" applyBorder="1"/>
    <xf numFmtId="164" fontId="4" fillId="2" borderId="9" xfId="0" applyNumberFormat="1" applyFont="1" applyFill="1" applyBorder="1"/>
    <xf numFmtId="0" fontId="4" fillId="5" borderId="5" xfId="0" applyFont="1" applyFill="1" applyBorder="1" applyAlignment="1">
      <alignment horizontal="left" indent="4"/>
    </xf>
    <xf numFmtId="0" fontId="4" fillId="5" borderId="0" xfId="0" applyFont="1" applyFill="1" applyBorder="1"/>
    <xf numFmtId="164" fontId="4" fillId="5" borderId="6" xfId="0" applyNumberFormat="1" applyFont="1" applyFill="1" applyBorder="1"/>
    <xf numFmtId="0" fontId="6" fillId="4" borderId="13" xfId="0" applyFont="1" applyFill="1" applyBorder="1" applyAlignment="1">
      <alignment horizontal="left" vertical="center" indent="4"/>
    </xf>
    <xf numFmtId="0" fontId="5" fillId="4" borderId="2" xfId="0" applyFont="1" applyFill="1" applyBorder="1" applyAlignment="1">
      <alignment horizontal="left" vertical="center" indent="4"/>
    </xf>
    <xf numFmtId="0" fontId="4" fillId="5" borderId="5" xfId="0" applyFont="1" applyFill="1" applyBorder="1" applyAlignment="1">
      <alignment horizontal="left" vertical="center" indent="4"/>
    </xf>
    <xf numFmtId="0" fontId="4" fillId="5" borderId="7" xfId="0" applyFont="1" applyFill="1" applyBorder="1" applyAlignment="1">
      <alignment horizontal="left" vertical="center" indent="4"/>
    </xf>
    <xf numFmtId="0" fontId="5" fillId="4" borderId="3" xfId="0" applyFont="1" applyFill="1" applyBorder="1" applyAlignment="1">
      <alignment horizontal="center" vertical="center"/>
    </xf>
    <xf numFmtId="0" fontId="0" fillId="0" borderId="0" xfId="0" applyBorder="1"/>
    <xf numFmtId="9" fontId="0" fillId="0" borderId="0" xfId="2" applyFont="1" applyBorder="1"/>
    <xf numFmtId="0" fontId="0" fillId="0" borderId="23" xfId="0" applyBorder="1"/>
    <xf numFmtId="9" fontId="0" fillId="0" borderId="23" xfId="2" applyFont="1" applyBorder="1"/>
    <xf numFmtId="0" fontId="0" fillId="0" borderId="24" xfId="0" applyBorder="1"/>
    <xf numFmtId="9" fontId="0" fillId="0" borderId="24" xfId="2" applyFont="1" applyBorder="1"/>
    <xf numFmtId="0" fontId="2" fillId="10" borderId="0" xfId="0" applyFont="1" applyFill="1"/>
    <xf numFmtId="0" fontId="2" fillId="10" borderId="0" xfId="0" applyFont="1" applyFill="1" applyAlignment="1">
      <alignment horizontal="center" vertical="center"/>
    </xf>
    <xf numFmtId="0" fontId="0" fillId="0" borderId="0" xfId="0" applyFont="1"/>
    <xf numFmtId="0" fontId="4" fillId="5" borderId="5" xfId="0" applyFont="1" applyFill="1" applyBorder="1" applyAlignment="1">
      <alignment horizontal="left" vertical="center" indent="4"/>
    </xf>
    <xf numFmtId="0" fontId="4" fillId="5" borderId="0" xfId="0" applyFont="1" applyFill="1" applyBorder="1" applyAlignment="1">
      <alignment horizontal="left" vertical="center" indent="4"/>
    </xf>
    <xf numFmtId="0" fontId="4" fillId="5" borderId="7" xfId="0" applyFont="1" applyFill="1" applyBorder="1" applyAlignment="1">
      <alignment horizontal="left" vertical="center" indent="4"/>
    </xf>
    <xf numFmtId="0" fontId="4" fillId="5" borderId="8" xfId="0" applyFont="1" applyFill="1" applyBorder="1" applyAlignment="1">
      <alignment horizontal="left" vertical="center" indent="4"/>
    </xf>
    <xf numFmtId="0" fontId="4" fillId="2" borderId="5" xfId="0" applyFont="1" applyFill="1" applyBorder="1" applyAlignment="1">
      <alignment horizontal="left" vertical="center" indent="4"/>
    </xf>
    <xf numFmtId="0" fontId="4" fillId="2" borderId="0" xfId="0" applyFont="1" applyFill="1" applyBorder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4" fillId="3" borderId="6" xfId="1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4"/>
    </xf>
    <xf numFmtId="0" fontId="4" fillId="0" borderId="0" xfId="0" applyFont="1" applyBorder="1" applyAlignment="1">
      <alignment horizontal="left" vertical="center" indent="4"/>
    </xf>
    <xf numFmtId="0" fontId="4" fillId="2" borderId="7" xfId="0" applyFont="1" applyFill="1" applyBorder="1" applyAlignment="1">
      <alignment horizontal="left" vertical="center" indent="4"/>
    </xf>
    <xf numFmtId="0" fontId="4" fillId="2" borderId="8" xfId="0" applyFont="1" applyFill="1" applyBorder="1" applyAlignment="1">
      <alignment horizontal="left" vertical="center" indent="4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3">
    <dxf>
      <font>
        <color theme="0"/>
      </font>
      <fill>
        <patternFill>
          <bgColor theme="8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CD2F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DB-4313-9590-A453421157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DB-4313-9590-A453421157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DB-4313-9590-A453421157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DB-4313-9590-A453421157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DB-4313-9590-A453421157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DB-4313-9590-A453421157C5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DB-4313-9590-A453421157C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DB-4313-9590-A453421157C5}"/>
                </c:ext>
              </c:extLst>
            </c:dLbl>
            <c:spPr>
              <a:noFill/>
              <a:ln>
                <a:noFill/>
              </a:ln>
              <a:effectLst>
                <a:glow rad="127000">
                  <a:schemeClr val="bg1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Planilha1!$B$49:$B$54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Planilha1!$C$49:$C$54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9-45AE-86FC-C58FC1E052F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DB-4313-9590-A453421157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DB-4313-9590-A453421157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DB-4313-9590-A453421157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DB-4313-9590-A453421157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DB-4313-9590-A453421157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DB-4313-9590-A453421157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Planilha1!$B$49:$B$54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Planilha1!$E$49:$E$54</c:f>
              <c:numCache>
                <c:formatCode>"R$"\ #,##0.00</c:formatCode>
                <c:ptCount val="6"/>
                <c:pt idx="0">
                  <c:v>270</c:v>
                </c:pt>
                <c:pt idx="1">
                  <c:v>450</c:v>
                </c:pt>
                <c:pt idx="2">
                  <c:v>90</c:v>
                </c:pt>
                <c:pt idx="3">
                  <c:v>90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9-45AE-86FC-C58FC1E052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ACUMULADO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Planilha1!$A$30:$A$34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xVal>
          <c:yVal>
            <c:numRef>
              <c:f>Planilha1!$D$30:$D$34</c:f>
              <c:numCache>
                <c:formatCode>"R$"#,##0.00_);[Red]\("R$"#,##0.00\)</c:formatCode>
                <c:ptCount val="5"/>
                <c:pt idx="0">
                  <c:v>24577.722385976427</c:v>
                </c:pt>
                <c:pt idx="1">
                  <c:v>84379.499642111274</c:v>
                </c:pt>
                <c:pt idx="2">
                  <c:v>303084.85754218465</c:v>
                </c:pt>
                <c:pt idx="3">
                  <c:v>2339232.1578602013</c:v>
                </c:pt>
                <c:pt idx="4">
                  <c:v>16018225.764511442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D-45CD-9C20-BD81B1DA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896255"/>
        <c:axId val="1992897695"/>
      </c:scatterChart>
      <c:valAx>
        <c:axId val="199289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2897695"/>
        <c:crosses val="autoZero"/>
        <c:crossBetween val="midCat"/>
      </c:valAx>
      <c:valAx>
        <c:axId val="1992897695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289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55</xdr:row>
      <xdr:rowOff>30480</xdr:rowOff>
    </xdr:from>
    <xdr:to>
      <xdr:col>5</xdr:col>
      <xdr:colOff>0</xdr:colOff>
      <xdr:row>70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604FC7-AB7E-084B-1601-48D8CA74E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38100</xdr:rowOff>
    </xdr:from>
    <xdr:to>
      <xdr:col>5</xdr:col>
      <xdr:colOff>15240</xdr:colOff>
      <xdr:row>44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BD217A7-EE28-A958-C732-7543C45D5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15089</xdr:colOff>
      <xdr:row>2</xdr:row>
      <xdr:rowOff>113169</xdr:rowOff>
    </xdr:from>
    <xdr:to>
      <xdr:col>6</xdr:col>
      <xdr:colOff>22634</xdr:colOff>
      <xdr:row>12</xdr:row>
      <xdr:rowOff>176826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B59DFF6-5BCE-45B1-BE64-E71DF760D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198" y="475308"/>
          <a:ext cx="11995842" cy="187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6</xdr:col>
      <xdr:colOff>7620</xdr:colOff>
      <xdr:row>34</xdr:row>
      <xdr:rowOff>7620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90598139-EBC5-599D-BB77-D10D1AECA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4960" y="6416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</xdr:colOff>
      <xdr:row>34</xdr:row>
      <xdr:rowOff>0</xdr:rowOff>
    </xdr:from>
    <xdr:to>
      <xdr:col>6</xdr:col>
      <xdr:colOff>22860</xdr:colOff>
      <xdr:row>34</xdr:row>
      <xdr:rowOff>7620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3D1F5086-5A27-FE98-9927-2BA3BFE7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6416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</xdr:colOff>
      <xdr:row>34</xdr:row>
      <xdr:rowOff>0</xdr:rowOff>
    </xdr:from>
    <xdr:to>
      <xdr:col>6</xdr:col>
      <xdr:colOff>38100</xdr:colOff>
      <xdr:row>34</xdr:row>
      <xdr:rowOff>7620</xdr:rowOff>
    </xdr:to>
    <xdr:pic>
      <xdr:nvPicPr>
        <xdr:cNvPr id="4" name="grd_IDHF" descr="Hide">
          <a:extLst>
            <a:ext uri="{FF2B5EF4-FFF2-40B4-BE49-F238E27FC236}">
              <a16:creationId xmlns:a16="http://schemas.microsoft.com/office/drawing/2014/main" id="{AD9ED4E1-DB0B-BAED-33B6-92E204F0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440" y="6416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7571-2513-4AF8-965D-EBC085D134BB}">
  <dimension ref="A15:G55"/>
  <sheetViews>
    <sheetView showGridLines="0" showRowColHeaders="0" tabSelected="1" zoomScale="65" workbookViewId="0">
      <selection activeCell="F63" sqref="F63"/>
    </sheetView>
  </sheetViews>
  <sheetFormatPr defaultColWidth="0" defaultRowHeight="14.4" x14ac:dyDescent="0.3"/>
  <cols>
    <col min="1" max="1" width="8.88671875" customWidth="1"/>
    <col min="2" max="2" width="36.77734375" bestFit="1" customWidth="1"/>
    <col min="3" max="3" width="40.33203125" bestFit="1" customWidth="1"/>
    <col min="4" max="4" width="40.33203125" customWidth="1"/>
    <col min="5" max="5" width="33.109375" bestFit="1" customWidth="1"/>
    <col min="6" max="6" width="24.21875" bestFit="1" customWidth="1"/>
    <col min="7" max="7" width="27.5546875" customWidth="1"/>
    <col min="8" max="16384" width="8.88671875" hidden="1"/>
  </cols>
  <sheetData>
    <row r="15" spans="2:6" ht="15" thickBot="1" x14ac:dyDescent="0.35"/>
    <row r="16" spans="2:6" ht="18" x14ac:dyDescent="0.35">
      <c r="B16" s="66" t="s">
        <v>9</v>
      </c>
      <c r="C16" s="67"/>
      <c r="D16" s="67"/>
      <c r="E16" s="6"/>
      <c r="F16" s="6" t="s">
        <v>33</v>
      </c>
    </row>
    <row r="17" spans="1:6" ht="16.2" thickBot="1" x14ac:dyDescent="0.35">
      <c r="B17" s="60" t="s">
        <v>10</v>
      </c>
      <c r="C17" s="61"/>
      <c r="D17" s="5"/>
      <c r="E17" s="7">
        <v>3000</v>
      </c>
      <c r="F17" s="30">
        <f>AVERAGE(Planilha2!H9:H34)</f>
        <v>6.1226923076923082E-2</v>
      </c>
    </row>
    <row r="18" spans="1:6" ht="18" x14ac:dyDescent="0.35">
      <c r="B18" s="34" t="s">
        <v>36</v>
      </c>
      <c r="C18" s="5"/>
      <c r="D18" s="5"/>
      <c r="E18" s="11">
        <f>dividendos</f>
        <v>1.1000000000000001E-2</v>
      </c>
      <c r="F18" s="6" t="s">
        <v>41</v>
      </c>
    </row>
    <row r="19" spans="1:6" ht="16.2" thickBot="1" x14ac:dyDescent="0.35">
      <c r="B19" s="60" t="s">
        <v>11</v>
      </c>
      <c r="C19" s="61"/>
      <c r="D19" s="5"/>
      <c r="E19" s="9">
        <f>E17*30%</f>
        <v>900</v>
      </c>
      <c r="F19" s="30">
        <f>VLOOKUP(E20,Planilha2!B28:C31,2,0)</f>
        <v>1.1000000000000001E-2</v>
      </c>
    </row>
    <row r="20" spans="1:6" ht="16.2" customHeight="1" x14ac:dyDescent="0.35">
      <c r="B20" s="60" t="s">
        <v>34</v>
      </c>
      <c r="C20" s="61"/>
      <c r="D20" s="61"/>
      <c r="E20" s="64" t="s">
        <v>35</v>
      </c>
      <c r="F20" s="6" t="s">
        <v>42</v>
      </c>
    </row>
    <row r="21" spans="1:6" ht="15.6" customHeight="1" thickBot="1" x14ac:dyDescent="0.35">
      <c r="B21" s="70"/>
      <c r="C21" s="71"/>
      <c r="D21" s="71"/>
      <c r="E21" s="65"/>
      <c r="F21" s="30">
        <v>5.0000000000000001E-3</v>
      </c>
    </row>
    <row r="22" spans="1:6" ht="15" thickBot="1" x14ac:dyDescent="0.35"/>
    <row r="23" spans="1:6" ht="21" x14ac:dyDescent="0.4">
      <c r="B23" s="62" t="s">
        <v>3</v>
      </c>
      <c r="C23" s="63"/>
      <c r="D23" s="63"/>
      <c r="E23" s="8"/>
    </row>
    <row r="24" spans="1:6" ht="15.6" x14ac:dyDescent="0.3">
      <c r="B24" s="68" t="s">
        <v>0</v>
      </c>
      <c r="C24" s="69"/>
      <c r="D24" s="69"/>
      <c r="E24" s="9">
        <f>sugestao_investimento</f>
        <v>900</v>
      </c>
    </row>
    <row r="25" spans="1:6" ht="15.6" x14ac:dyDescent="0.3">
      <c r="B25" s="68" t="s">
        <v>37</v>
      </c>
      <c r="C25" s="69"/>
      <c r="D25" s="69"/>
      <c r="E25" s="10">
        <v>5</v>
      </c>
    </row>
    <row r="26" spans="1:6" ht="15.6" x14ac:dyDescent="0.3">
      <c r="B26" s="56" t="s">
        <v>1</v>
      </c>
      <c r="C26" s="57"/>
      <c r="D26" s="57"/>
      <c r="E26" s="12">
        <f>FV(taxa_mensal,qnt_anos*12,Aporte*-1)</f>
        <v>75913.581980056886</v>
      </c>
    </row>
    <row r="27" spans="1:6" ht="16.2" thickBot="1" x14ac:dyDescent="0.35">
      <c r="B27" s="58" t="s">
        <v>2</v>
      </c>
      <c r="C27" s="59"/>
      <c r="D27" s="59"/>
      <c r="E27" s="13">
        <f>E26*taxa_mensal</f>
        <v>835.04940178062589</v>
      </c>
    </row>
    <row r="28" spans="1:6" ht="15" thickBot="1" x14ac:dyDescent="0.35"/>
    <row r="29" spans="1:6" ht="18" x14ac:dyDescent="0.35">
      <c r="A29" s="1"/>
      <c r="B29" s="43" t="s">
        <v>13</v>
      </c>
      <c r="C29" s="46" t="s">
        <v>43</v>
      </c>
      <c r="D29" s="46" t="s">
        <v>44</v>
      </c>
      <c r="E29" s="14" t="s">
        <v>12</v>
      </c>
    </row>
    <row r="30" spans="1:6" ht="15.6" x14ac:dyDescent="0.3">
      <c r="A30" s="1">
        <v>2</v>
      </c>
      <c r="B30" s="44" t="s">
        <v>4</v>
      </c>
      <c r="C30" s="4">
        <f>FV(taxa_mensal+valorização_FII,Planilha2!B35*12,Aporte*-1)</f>
        <v>26082.540703908577</v>
      </c>
      <c r="D30" s="4">
        <f>C30/(1+Inflação_media)</f>
        <v>24577.722385976427</v>
      </c>
      <c r="E30" s="12">
        <f>(C30*taxa_mensal)/(1+valorização_FII)</f>
        <v>285.48054501790489</v>
      </c>
    </row>
    <row r="31" spans="1:6" ht="15.6" x14ac:dyDescent="0.3">
      <c r="A31" s="1">
        <v>5</v>
      </c>
      <c r="B31" s="44" t="s">
        <v>5</v>
      </c>
      <c r="C31" s="4">
        <f>FV(taxa_mensal+valorização_FII,Planilha2!B36*12,Aporte*-1)</f>
        <v>89545.796775968091</v>
      </c>
      <c r="D31" s="4">
        <f>C31/(1+Inflação_media)</f>
        <v>84379.499642111274</v>
      </c>
      <c r="E31" s="12">
        <f>(C31*taxa_mensal)/(1+valorização_FII)</f>
        <v>980.10324829417834</v>
      </c>
    </row>
    <row r="32" spans="1:6" ht="15.6" x14ac:dyDescent="0.3">
      <c r="A32" s="1">
        <v>10</v>
      </c>
      <c r="B32" s="44" t="s">
        <v>6</v>
      </c>
      <c r="C32" s="4">
        <f>FV(taxa_mensal+valorização_FII,Planilha2!B37*12,Aporte*-1)</f>
        <v>321641.81080070022</v>
      </c>
      <c r="D32" s="4">
        <f>C32/(1+Inflação_media)</f>
        <v>303084.85754218465</v>
      </c>
      <c r="E32" s="12">
        <f>(C32*taxa_mensal)/(1+valorização_FII)</f>
        <v>3520.4576306544309</v>
      </c>
    </row>
    <row r="33" spans="1:5" ht="15.6" x14ac:dyDescent="0.3">
      <c r="A33" s="1">
        <v>20</v>
      </c>
      <c r="B33" s="44" t="s">
        <v>7</v>
      </c>
      <c r="C33" s="4">
        <f>FV(taxa_mensal+valorização_FII,Planilha2!B38*12,Aporte*-1)</f>
        <v>2482456.1452485728</v>
      </c>
      <c r="D33" s="4">
        <f>C33/(1+Inflação_media)</f>
        <v>2339232.1578602013</v>
      </c>
      <c r="E33" s="12">
        <f>(C33*taxa_mensal)/(1+valorização_FII)</f>
        <v>27171.161788790352</v>
      </c>
    </row>
    <row r="34" spans="1:5" ht="16.2" thickBot="1" x14ac:dyDescent="0.35">
      <c r="A34" s="1">
        <v>30</v>
      </c>
      <c r="B34" s="45" t="s">
        <v>8</v>
      </c>
      <c r="C34" s="15">
        <f>FV(taxa_mensal+valorização_FII,Planilha2!B39*12,Aporte*-1)</f>
        <v>16998972.441223972</v>
      </c>
      <c r="D34" s="15">
        <f>C34/(1+Inflação_media)</f>
        <v>16018225.764511442</v>
      </c>
      <c r="E34" s="13">
        <f>(C34*taxa_mensal)/(1+valorização_FII)</f>
        <v>186058.40482931715</v>
      </c>
    </row>
    <row r="45" spans="1:5" ht="15" thickBot="1" x14ac:dyDescent="0.35"/>
    <row r="46" spans="1:5" ht="18" x14ac:dyDescent="0.3">
      <c r="B46" s="16" t="s">
        <v>23</v>
      </c>
      <c r="C46" s="17"/>
      <c r="D46" s="17"/>
      <c r="E46" s="18" t="s">
        <v>46</v>
      </c>
    </row>
    <row r="47" spans="1:5" ht="15.6" x14ac:dyDescent="0.3">
      <c r="B47" s="39" t="s">
        <v>16</v>
      </c>
      <c r="C47" s="40"/>
      <c r="D47" s="40"/>
      <c r="E47" s="41">
        <f>sugestao_investimento</f>
        <v>900</v>
      </c>
    </row>
    <row r="48" spans="1:5" ht="18" x14ac:dyDescent="0.3">
      <c r="B48" s="42" t="s">
        <v>14</v>
      </c>
      <c r="C48" s="3" t="s">
        <v>15</v>
      </c>
      <c r="D48" s="3"/>
      <c r="E48" s="19" t="s">
        <v>19</v>
      </c>
    </row>
    <row r="49" spans="2:5" ht="15.6" x14ac:dyDescent="0.3">
      <c r="B49" s="35" t="s">
        <v>24</v>
      </c>
      <c r="C49" s="32">
        <f>VLOOKUP($E$46&amp;"-"&amp;B49,Planilha2!B:F,4,0)</f>
        <v>0.3</v>
      </c>
      <c r="D49" s="32"/>
      <c r="E49" s="33">
        <f>$E$47*C49</f>
        <v>270</v>
      </c>
    </row>
    <row r="50" spans="2:5" ht="15.6" x14ac:dyDescent="0.3">
      <c r="B50" s="35" t="s">
        <v>25</v>
      </c>
      <c r="C50" s="32">
        <f>VLOOKUP($E$46&amp;"-"&amp;B50,Planilha2!B:F,4,0)</f>
        <v>0.5</v>
      </c>
      <c r="D50" s="32"/>
      <c r="E50" s="33">
        <f>$E$47*C50</f>
        <v>450</v>
      </c>
    </row>
    <row r="51" spans="2:5" ht="15.6" x14ac:dyDescent="0.3">
      <c r="B51" s="35" t="s">
        <v>26</v>
      </c>
      <c r="C51" s="32">
        <f>VLOOKUP($E$46&amp;"-"&amp;B51,Planilha2!B:F,4,0)</f>
        <v>0.1</v>
      </c>
      <c r="D51" s="32"/>
      <c r="E51" s="33">
        <f t="shared" ref="E51:E54" si="0">$E$47*C51</f>
        <v>90</v>
      </c>
    </row>
    <row r="52" spans="2:5" ht="15.6" x14ac:dyDescent="0.3">
      <c r="B52" s="35" t="s">
        <v>29</v>
      </c>
      <c r="C52" s="32">
        <f>VLOOKUP($E$46&amp;"-"&amp;B52,Planilha2!B:F,4,0)</f>
        <v>0.1</v>
      </c>
      <c r="D52" s="32"/>
      <c r="E52" s="33">
        <f t="shared" si="0"/>
        <v>90</v>
      </c>
    </row>
    <row r="53" spans="2:5" ht="15.6" x14ac:dyDescent="0.3">
      <c r="B53" s="35" t="s">
        <v>27</v>
      </c>
      <c r="C53" s="32">
        <f>VLOOKUP($E$46&amp;"-"&amp;B53,Planilha2!B:F,4,0)</f>
        <v>0</v>
      </c>
      <c r="D53" s="32"/>
      <c r="E53" s="33">
        <f t="shared" si="0"/>
        <v>0</v>
      </c>
    </row>
    <row r="54" spans="2:5" ht="15.6" x14ac:dyDescent="0.3">
      <c r="B54" s="35" t="s">
        <v>28</v>
      </c>
      <c r="C54" s="32">
        <f>VLOOKUP($E$46&amp;"-"&amp;B54,Planilha2!B:F,4,0)</f>
        <v>0</v>
      </c>
      <c r="D54" s="32"/>
      <c r="E54" s="33">
        <f t="shared" si="0"/>
        <v>0</v>
      </c>
    </row>
    <row r="55" spans="2:5" ht="16.2" thickBot="1" x14ac:dyDescent="0.35">
      <c r="B55" s="36"/>
      <c r="C55" s="37"/>
      <c r="D55" s="37"/>
      <c r="E55" s="38">
        <f>SUM(E49:E54)</f>
        <v>900</v>
      </c>
    </row>
  </sheetData>
  <mergeCells count="10">
    <mergeCell ref="E20:E21"/>
    <mergeCell ref="B16:D16"/>
    <mergeCell ref="B24:D24"/>
    <mergeCell ref="B25:D25"/>
    <mergeCell ref="B20:D21"/>
    <mergeCell ref="B26:D26"/>
    <mergeCell ref="B27:D27"/>
    <mergeCell ref="B17:C17"/>
    <mergeCell ref="B19:C19"/>
    <mergeCell ref="B23:D23"/>
  </mergeCells>
  <conditionalFormatting sqref="E20">
    <cfRule type="containsText" dxfId="2" priority="1" operator="containsText" text="Pessimista">
      <formula>NOT(ISERROR(SEARCH("Pessimista",E20)))</formula>
    </cfRule>
    <cfRule type="containsText" dxfId="1" priority="2" operator="containsText" text="Moderado">
      <formula>NOT(ISERROR(SEARCH("Moderado",E20)))</formula>
    </cfRule>
    <cfRule type="containsText" dxfId="0" priority="3" operator="containsText" text="Otimista">
      <formula>NOT(ISERROR(SEARCH("Otimista",E20)))</formula>
    </cfRule>
  </conditionalFormatting>
  <dataValidations count="2">
    <dataValidation type="list" allowBlank="1" showInputMessage="1" showErrorMessage="1" sqref="E46" xr:uid="{3DFA69C9-EAB7-45B2-9200-D9A866215C6B}">
      <formula1>"CONSERVADOR,MODERADO,AGRESSIVO"</formula1>
    </dataValidation>
    <dataValidation type="list" allowBlank="1" showInputMessage="1" showErrorMessage="1" sqref="E20" xr:uid="{85E10AD6-1F6D-4B3A-8C31-BF9A49B04445}">
      <formula1>"Otimista,Moderado,Pessimista"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79F5-9FF1-47B1-B6D4-F5F9EB418B98}">
  <dimension ref="B8:H39"/>
  <sheetViews>
    <sheetView showGridLines="0" topLeftCell="A18" workbookViewId="0">
      <selection activeCell="B35" sqref="B35:B39"/>
    </sheetView>
  </sheetViews>
  <sheetFormatPr defaultRowHeight="14.4" x14ac:dyDescent="0.3"/>
  <cols>
    <col min="2" max="2" width="29.5546875" bestFit="1" customWidth="1"/>
    <col min="3" max="3" width="11.109375" bestFit="1" customWidth="1"/>
    <col min="4" max="4" width="18.44140625" bestFit="1" customWidth="1"/>
    <col min="5" max="5" width="21.77734375" bestFit="1" customWidth="1"/>
    <col min="8" max="8" width="12.21875" customWidth="1"/>
    <col min="12" max="12" width="10.109375" bestFit="1" customWidth="1"/>
  </cols>
  <sheetData>
    <row r="8" spans="2:8" ht="15" thickBot="1" x14ac:dyDescent="0.35">
      <c r="B8" s="54" t="s">
        <v>20</v>
      </c>
      <c r="C8" s="54" t="s">
        <v>17</v>
      </c>
      <c r="D8" s="54" t="s">
        <v>14</v>
      </c>
      <c r="E8" s="54" t="s">
        <v>15</v>
      </c>
      <c r="G8" s="54" t="s">
        <v>31</v>
      </c>
      <c r="H8" s="54" t="s">
        <v>30</v>
      </c>
    </row>
    <row r="9" spans="2:8" ht="15" thickBot="1" x14ac:dyDescent="0.35">
      <c r="B9" t="str">
        <f>C9&amp;"-"&amp;D9</f>
        <v>conservador-Papel</v>
      </c>
      <c r="C9" t="s">
        <v>18</v>
      </c>
      <c r="D9" t="s">
        <v>24</v>
      </c>
      <c r="E9" s="2">
        <v>0.3</v>
      </c>
      <c r="G9" s="20">
        <v>2000</v>
      </c>
      <c r="H9" s="25">
        <v>5.9699999999999996E-2</v>
      </c>
    </row>
    <row r="10" spans="2:8" ht="15" thickBot="1" x14ac:dyDescent="0.35">
      <c r="B10" t="str">
        <f t="shared" ref="B10:B26" si="0">C10&amp;"-"&amp;D10</f>
        <v>conservador-Tijolo</v>
      </c>
      <c r="C10" t="s">
        <v>18</v>
      </c>
      <c r="D10" t="s">
        <v>25</v>
      </c>
      <c r="E10" s="2">
        <v>0.5</v>
      </c>
      <c r="G10" s="21">
        <v>2001</v>
      </c>
      <c r="H10" s="26">
        <v>7.6700000000000004E-2</v>
      </c>
    </row>
    <row r="11" spans="2:8" ht="15" thickBot="1" x14ac:dyDescent="0.35">
      <c r="B11" t="str">
        <f t="shared" si="0"/>
        <v>conservador-Hibridos</v>
      </c>
      <c r="C11" t="s">
        <v>18</v>
      </c>
      <c r="D11" t="s">
        <v>26</v>
      </c>
      <c r="E11" s="2">
        <v>0.1</v>
      </c>
      <c r="G11" s="22">
        <v>2002</v>
      </c>
      <c r="H11" s="27">
        <v>0.12529999999999999</v>
      </c>
    </row>
    <row r="12" spans="2:8" ht="15" thickBot="1" x14ac:dyDescent="0.35">
      <c r="B12" t="str">
        <f t="shared" si="0"/>
        <v>conservador-FOFs</v>
      </c>
      <c r="C12" t="s">
        <v>18</v>
      </c>
      <c r="D12" t="s">
        <v>29</v>
      </c>
      <c r="E12" s="2">
        <v>0.1</v>
      </c>
      <c r="G12" s="21">
        <v>2003</v>
      </c>
      <c r="H12" s="26">
        <v>9.3000000000000013E-2</v>
      </c>
    </row>
    <row r="13" spans="2:8" ht="15" thickBot="1" x14ac:dyDescent="0.35">
      <c r="B13" t="str">
        <f t="shared" si="0"/>
        <v>conservador-Desenvolvimento</v>
      </c>
      <c r="C13" t="s">
        <v>18</v>
      </c>
      <c r="D13" t="s">
        <v>27</v>
      </c>
      <c r="E13" s="2">
        <v>0</v>
      </c>
      <c r="G13" s="22">
        <v>2004</v>
      </c>
      <c r="H13" s="27">
        <v>7.5999999999999998E-2</v>
      </c>
    </row>
    <row r="14" spans="2:8" ht="15" thickBot="1" x14ac:dyDescent="0.35">
      <c r="B14" s="49" t="str">
        <f t="shared" si="0"/>
        <v>conservador-Hotelaria</v>
      </c>
      <c r="C14" s="49" t="s">
        <v>18</v>
      </c>
      <c r="D14" s="49" t="s">
        <v>28</v>
      </c>
      <c r="E14" s="50">
        <v>0</v>
      </c>
      <c r="G14" s="21">
        <v>2005</v>
      </c>
      <c r="H14" s="26">
        <v>5.6900000000000006E-2</v>
      </c>
    </row>
    <row r="15" spans="2:8" ht="15" thickBot="1" x14ac:dyDescent="0.35">
      <c r="B15" s="47" t="str">
        <f t="shared" si="0"/>
        <v>moderado-Papel</v>
      </c>
      <c r="C15" s="47" t="s">
        <v>21</v>
      </c>
      <c r="D15" t="s">
        <v>24</v>
      </c>
      <c r="E15" s="48">
        <v>0.27</v>
      </c>
      <c r="G15" s="22">
        <v>2006</v>
      </c>
      <c r="H15" s="27">
        <v>3.1400000000000004E-2</v>
      </c>
    </row>
    <row r="16" spans="2:8" ht="15" thickBot="1" x14ac:dyDescent="0.35">
      <c r="B16" t="str">
        <f t="shared" si="0"/>
        <v>moderado-Tijolo</v>
      </c>
      <c r="C16" t="s">
        <v>21</v>
      </c>
      <c r="D16" t="s">
        <v>25</v>
      </c>
      <c r="E16" s="2">
        <v>0.35</v>
      </c>
      <c r="G16" s="21">
        <v>2007</v>
      </c>
      <c r="H16" s="26">
        <v>4.4600000000000001E-2</v>
      </c>
    </row>
    <row r="17" spans="2:8" ht="15" thickBot="1" x14ac:dyDescent="0.35">
      <c r="B17" t="str">
        <f t="shared" si="0"/>
        <v>moderado-Hibridos</v>
      </c>
      <c r="C17" t="s">
        <v>21</v>
      </c>
      <c r="D17" t="s">
        <v>26</v>
      </c>
      <c r="E17" s="2">
        <v>0.08</v>
      </c>
      <c r="G17" s="22">
        <v>2008</v>
      </c>
      <c r="H17" s="27">
        <v>5.9000000000000004E-2</v>
      </c>
    </row>
    <row r="18" spans="2:8" ht="15" thickBot="1" x14ac:dyDescent="0.35">
      <c r="B18" t="str">
        <f t="shared" si="0"/>
        <v>moderado-FOFs</v>
      </c>
      <c r="C18" t="s">
        <v>21</v>
      </c>
      <c r="D18" t="s">
        <v>29</v>
      </c>
      <c r="E18" s="2">
        <v>0.1</v>
      </c>
      <c r="G18" s="21">
        <v>2009</v>
      </c>
      <c r="H18" s="26">
        <v>4.3099999999999999E-2</v>
      </c>
    </row>
    <row r="19" spans="2:8" ht="15" thickBot="1" x14ac:dyDescent="0.35">
      <c r="B19" t="str">
        <f t="shared" si="0"/>
        <v>moderado-Desenvolvimento</v>
      </c>
      <c r="C19" t="s">
        <v>21</v>
      </c>
      <c r="D19" t="s">
        <v>27</v>
      </c>
      <c r="E19" s="2">
        <v>0.1</v>
      </c>
      <c r="G19" s="22">
        <v>2010</v>
      </c>
      <c r="H19" s="27">
        <v>5.91E-2</v>
      </c>
    </row>
    <row r="20" spans="2:8" ht="15" thickBot="1" x14ac:dyDescent="0.35">
      <c r="B20" s="51" t="str">
        <f t="shared" si="0"/>
        <v>moderado-Hotelaria</v>
      </c>
      <c r="C20" s="51" t="s">
        <v>21</v>
      </c>
      <c r="D20" s="51" t="s">
        <v>28</v>
      </c>
      <c r="E20" s="52">
        <v>0.1</v>
      </c>
      <c r="G20" s="21">
        <v>2011</v>
      </c>
      <c r="H20" s="26">
        <v>6.5000000000000002E-2</v>
      </c>
    </row>
    <row r="21" spans="2:8" ht="15.6" thickTop="1" thickBot="1" x14ac:dyDescent="0.35">
      <c r="B21" s="47" t="str">
        <f t="shared" si="0"/>
        <v>agressivo-Papel</v>
      </c>
      <c r="C21" s="47" t="s">
        <v>22</v>
      </c>
      <c r="D21" t="s">
        <v>24</v>
      </c>
      <c r="E21" s="48">
        <v>0.5</v>
      </c>
      <c r="G21" s="22">
        <v>2012</v>
      </c>
      <c r="H21" s="27">
        <v>5.8400000000000001E-2</v>
      </c>
    </row>
    <row r="22" spans="2:8" ht="15" thickBot="1" x14ac:dyDescent="0.35">
      <c r="B22" t="str">
        <f t="shared" si="0"/>
        <v>agressivo-Tijolo</v>
      </c>
      <c r="C22" t="s">
        <v>22</v>
      </c>
      <c r="D22" t="s">
        <v>25</v>
      </c>
      <c r="E22" s="2">
        <v>0.1</v>
      </c>
      <c r="G22" s="21">
        <v>2013</v>
      </c>
      <c r="H22" s="26">
        <v>5.91E-2</v>
      </c>
    </row>
    <row r="23" spans="2:8" ht="15" thickBot="1" x14ac:dyDescent="0.35">
      <c r="B23" t="str">
        <f t="shared" si="0"/>
        <v>agressivo-Hibridos</v>
      </c>
      <c r="C23" t="s">
        <v>22</v>
      </c>
      <c r="D23" t="s">
        <v>26</v>
      </c>
      <c r="E23" s="2">
        <v>0.05</v>
      </c>
      <c r="G23" s="22">
        <v>2014</v>
      </c>
      <c r="H23" s="27">
        <v>6.4100000000000004E-2</v>
      </c>
    </row>
    <row r="24" spans="2:8" ht="15" thickBot="1" x14ac:dyDescent="0.35">
      <c r="B24" t="str">
        <f t="shared" si="0"/>
        <v>agressivo-FOFs</v>
      </c>
      <c r="C24" t="s">
        <v>22</v>
      </c>
      <c r="D24" t="s">
        <v>29</v>
      </c>
      <c r="E24" s="2">
        <v>0.05</v>
      </c>
      <c r="G24" s="21">
        <v>2015</v>
      </c>
      <c r="H24" s="26">
        <v>0.1067</v>
      </c>
    </row>
    <row r="25" spans="2:8" ht="15" thickBot="1" x14ac:dyDescent="0.35">
      <c r="B25" t="str">
        <f t="shared" si="0"/>
        <v>agressivo-Desenvolvimento</v>
      </c>
      <c r="C25" t="s">
        <v>22</v>
      </c>
      <c r="D25" t="s">
        <v>27</v>
      </c>
      <c r="E25" s="2">
        <v>0.2</v>
      </c>
      <c r="G25" s="22">
        <v>2016</v>
      </c>
      <c r="H25" s="27">
        <v>6.2899999999999998E-2</v>
      </c>
    </row>
    <row r="26" spans="2:8" ht="15" thickBot="1" x14ac:dyDescent="0.35">
      <c r="B26" t="str">
        <f t="shared" si="0"/>
        <v>agressivo-Hotelaria</v>
      </c>
      <c r="C26" t="s">
        <v>22</v>
      </c>
      <c r="D26" t="s">
        <v>28</v>
      </c>
      <c r="E26" s="2">
        <v>0.1</v>
      </c>
      <c r="G26" s="21">
        <v>2017</v>
      </c>
      <c r="H26" s="26">
        <v>2.9500000000000002E-2</v>
      </c>
    </row>
    <row r="27" spans="2:8" ht="15" thickBot="1" x14ac:dyDescent="0.35">
      <c r="G27" s="22">
        <v>2018</v>
      </c>
      <c r="H27" s="27">
        <v>3.7499999999999999E-2</v>
      </c>
    </row>
    <row r="28" spans="2:8" ht="15" thickBot="1" x14ac:dyDescent="0.35">
      <c r="B28" s="53" t="s">
        <v>40</v>
      </c>
      <c r="C28" s="53"/>
      <c r="G28" s="21">
        <v>2019</v>
      </c>
      <c r="H28" s="26">
        <v>4.3099999999999999E-2</v>
      </c>
    </row>
    <row r="29" spans="2:8" ht="15" thickBot="1" x14ac:dyDescent="0.35">
      <c r="B29" t="s">
        <v>35</v>
      </c>
      <c r="C29" s="31">
        <v>1.1000000000000001E-2</v>
      </c>
      <c r="G29" s="22">
        <v>2020</v>
      </c>
      <c r="H29" s="27">
        <v>4.5199999999999997E-2</v>
      </c>
    </row>
    <row r="30" spans="2:8" ht="15" thickBot="1" x14ac:dyDescent="0.35">
      <c r="B30" t="s">
        <v>38</v>
      </c>
      <c r="C30" s="31">
        <v>9.0000000000000011E-3</v>
      </c>
      <c r="G30" s="21">
        <v>2021</v>
      </c>
      <c r="H30" s="26">
        <v>0.10060000000000001</v>
      </c>
    </row>
    <row r="31" spans="2:8" ht="15" thickBot="1" x14ac:dyDescent="0.35">
      <c r="B31" t="s">
        <v>39</v>
      </c>
      <c r="C31" s="31">
        <v>6.9999999999999993E-3</v>
      </c>
      <c r="G31" s="22">
        <v>2022</v>
      </c>
      <c r="H31" s="27">
        <v>5.79E-2</v>
      </c>
    </row>
    <row r="32" spans="2:8" ht="15" thickBot="1" x14ac:dyDescent="0.35">
      <c r="G32" s="21">
        <v>2023</v>
      </c>
      <c r="H32" s="26">
        <v>4.6199999999999998E-2</v>
      </c>
    </row>
    <row r="33" spans="2:8" ht="15" thickBot="1" x14ac:dyDescent="0.35">
      <c r="G33" s="22">
        <v>2024</v>
      </c>
      <c r="H33" s="27">
        <v>4.8300000000000003E-2</v>
      </c>
    </row>
    <row r="34" spans="2:8" x14ac:dyDescent="0.3">
      <c r="B34" s="53" t="s">
        <v>45</v>
      </c>
      <c r="G34" s="23">
        <v>2025</v>
      </c>
      <c r="H34" s="28">
        <v>4.2599999999999999E-2</v>
      </c>
    </row>
    <row r="35" spans="2:8" ht="15" thickBot="1" x14ac:dyDescent="0.35">
      <c r="B35" s="55">
        <v>2</v>
      </c>
      <c r="G35" s="24" t="s">
        <v>32</v>
      </c>
      <c r="H35" s="29">
        <f>AVERAGE(H9:H34)</f>
        <v>6.1226923076923082E-2</v>
      </c>
    </row>
    <row r="36" spans="2:8" x14ac:dyDescent="0.3">
      <c r="B36" s="55">
        <v>5</v>
      </c>
    </row>
    <row r="37" spans="2:8" x14ac:dyDescent="0.3">
      <c r="B37" s="55">
        <v>10</v>
      </c>
    </row>
    <row r="38" spans="2:8" x14ac:dyDescent="0.3">
      <c r="B38" s="55">
        <v>20</v>
      </c>
    </row>
    <row r="39" spans="2:8" x14ac:dyDescent="0.3">
      <c r="B39" s="55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14</vt:i4>
      </vt:variant>
    </vt:vector>
  </HeadingPairs>
  <TitlesOfParts>
    <vt:vector size="16" baseType="lpstr">
      <vt:lpstr>Planilha1</vt:lpstr>
      <vt:lpstr>Planilha2</vt:lpstr>
      <vt:lpstr>Aporte</vt:lpstr>
      <vt:lpstr>aporte_por_perfil</vt:lpstr>
      <vt:lpstr>dividendo_mensal</vt:lpstr>
      <vt:lpstr>dividendos</vt:lpstr>
      <vt:lpstr>dividendos_FII</vt:lpstr>
      <vt:lpstr>Inflação_media</vt:lpstr>
      <vt:lpstr>patrimonio</vt:lpstr>
      <vt:lpstr>Perfi_investidor</vt:lpstr>
      <vt:lpstr>qnt_anos</vt:lpstr>
      <vt:lpstr>Salario</vt:lpstr>
      <vt:lpstr>Salário</vt:lpstr>
      <vt:lpstr>sugestao_investimento</vt:lpstr>
      <vt:lpstr>taxa_mensal</vt:lpstr>
      <vt:lpstr>valorização_FII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souza</dc:creator>
  <cp:lastModifiedBy>vitor souza</cp:lastModifiedBy>
  <dcterms:created xsi:type="dcterms:W3CDTF">2026-09-04T00:43:07Z</dcterms:created>
  <dcterms:modified xsi:type="dcterms:W3CDTF">2026-10-14T14:09:19Z</dcterms:modified>
</cp:coreProperties>
</file>