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f2efc864c877ab1/Área de Trabalho/organização/DIO projeto/material de apoio/"/>
    </mc:Choice>
  </mc:AlternateContent>
  <xr:revisionPtr revIDLastSave="17" documentId="8_{F7DFF262-B6DA-4FCF-8DF1-E454A9D4AD3C}" xr6:coauthVersionLast="47" xr6:coauthVersionMax="47" xr10:uidLastSave="{6484916C-7211-4267-B42D-DC5717E4F274}"/>
  <bookViews>
    <workbookView xWindow="-108" yWindow="-108" windowWidth="23256" windowHeight="1257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3" l="1"/>
  <c r="D36" i="3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<sst xmlns="http://schemas.openxmlformats.org/spreadsheetml/2006/main" count="2021" uniqueCount="323">
  <si>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</si>
  <si>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</si>
  <si>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</si>
  <si>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</si>
  <si>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</si>
  <si>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</si>
  <si>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</si>
  <si>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</si>
  <si>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</si>
  <si>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</si>
  <si>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</si>
  <si>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</si>
  <si>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</si>
  <si>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</si>
  <si>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</si>
  <si>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</si>
  <si>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</si>
  <si>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</si>
  <si>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</si>
  <si>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</si>
  <si>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</si>
  <si>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</si>
  <si>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</si>
  <si>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</si>
  <si>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</si>
  <si>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</si>
  <si>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</si>
  <si>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</si>
  <si>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</si>
  <si>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</si>
  <si>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</si>
  <si>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</si>
  <si>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</si>
  <si>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</si>
  <si>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</si>
  <si>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</si>
  <si>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</si>
  <si>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</si>
  <si>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</si>
  <si>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</si>
  <si>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</si>
  <si>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</si>
  <si>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</si>
  <si>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</si>
  <si>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</si>
  <si>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</si>
  <si>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</si>
  <si>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</si>
  <si>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</si>
  <si>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</si>
  <si>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</si>
  <si>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</si>
  <si>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</si>
  <si>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</si>
  <si>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</si>
  <si>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</si>
  <si>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</si>
  <si>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</si>
  <si>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</si>
  <si>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</si>
  <si>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</si>
  <si>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</si>
  <si>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</si>
  <si>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</si>
  <si>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</si>
  <si>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</si>
  <si>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</si>
  <si>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</si>
  <si>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</si>
  <si>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</si>
  <si>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</si>
  <si>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</si>
  <si>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</si>
  <si>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</si>
  <si>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</si>
  <si>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</si>
  <si>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</si>
  <si>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</si>
  <si>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</si>
  <si>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</si>
  <si>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</si>
  <si>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</si>
  <si>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</si>
  <si>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</si>
  <si>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</si>
  <si>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</si>
  <si>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</si>
  <si>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</si>
  <si>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</si>
  <si>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</si>
  <si>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</si>
  <si>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</si>
  <si>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</si>
  <si>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</si>
  <si>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</si>
  <si>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</si>
  <si>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</si>
  <si>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</si>
  <si>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</si>
  <si>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</si>
  <si>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</si>
  <si>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</si>
  <si>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</si>
  <si>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</si>
  <si>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</si>
  <si>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</si>
  <si>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</si>
  <si>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</si>
  <si>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</si>
  <si>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</si>
  <si>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</si>
  <si>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</si>
  <si>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</si>
  <si>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</si>
  <si>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</si>
  <si>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</si>
  <si>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</si>
  <si>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</si>
  <si>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</si>
  <si>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</si>
  <si>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</si>
  <si>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</si>
  <si>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</si>
  <si>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</si>
  <si>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</si>
  <si>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</si>
  <si>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</si>
  <si>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</si>
  <si>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</si>
  <si>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</si>
  <si>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</si>
  <si>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</si>
  <si>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</si>
  <si>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</si>
  <si>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</si>
  <si>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</si>
  <si>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</si>
  <si>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</si>
  <si>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</si>
  <si>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</si>
  <si>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</si>
  <si>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</si>
  <si>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</si>
  <si>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</si>
  <si>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</si>
  <si>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</si>
  <si>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</si>
  <si>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</si>
  <si>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</si>
  <si>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</si>
  <si>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</si>
  <si>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</si>
  <si>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</si>
  <si>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</si>
  <si>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</si>
  <si>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</si>
  <si>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</si>
  <si>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</si>
  <si>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</si>
  <si>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</si>
  <si>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</si>
  <si>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</si>
  <si>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</si>
  <si>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</si>
  <si>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</si>
  <si>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</si>
  <si>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</si>
  <si>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</si>
  <si>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</si>
  <si>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</si>
  <si>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</si>
  <si>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</si>
  <si>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</si>
  <si>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</si>
  <si>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</si>
  <si>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</si>
  <si>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</si>
  <si>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</si>
  <si>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</si>
  <si>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</si>
  <si>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</si>
  <si>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</si>
  <si>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</si>
  <si>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</si>
  <si>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</si>
  <si>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</si>
  <si>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</si>
  <si>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</si>
  <si>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</si>
  <si>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</si>
  <si>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</si>
  <si>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</si>
  <si>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</si>
  <si>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</si>
  <si>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</si>
  <si>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</si>
  <si>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</si>
  <si>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</si>
  <si>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</si>
  <si>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</si>
  <si>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</si>
  <si>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</si>
  <si>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</si>
  <si>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</si>
  <si>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</si>
  <si>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</si>
  <si>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</si>
  <si>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</si>
  <si>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</si>
  <si>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</si>
  <si>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</si>
  <si>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</si>
  <si>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</si>
  <si>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</si>
  <si>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</si>
  <si>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</si>
  <si>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</si>
  <si>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</si>
  <si>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</si>
  <si>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</si>
  <si>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</si>
  <si>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</si>
  <si>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</si>
  <si>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</si>
  <si>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</si>
  <si>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</si>
  <si>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</si>
  <si>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</si>
  <si>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</si>
  <si>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</si>
  <si>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</si>
  <si>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</si>
  <si>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</si>
  <si>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</si>
  <si>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</si>
  <si>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</si>
  <si>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</si>
  <si>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</si>
  <si>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</si>
  <si>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</si>
  <si>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</si>
  <si>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</si>
  <si>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</si>
  <si>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</si>
  <si>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</si>
  <si>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</si>
  <si>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</si>
  <si>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</si>
  <si>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</si>
  <si>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</si>
  <si>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</si>
  <si>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</si>
  <si>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</si>
  <si>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</si>
  <si>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</si>
  <si>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</si>
  <si>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</si>
  <si>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</si>
  <si>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</si>
  <si>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</si>
  <si>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</si>
  <si>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</si>
  <si>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</si>
  <si>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</si>
  <si>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</si>
  <si>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</si>
  <si>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</si>
  <si>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</si>
  <si>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</si>
  <si>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</si>
  <si>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</si>
  <si>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</si>
  <si>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</si>
  <si>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</si>
  <si>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</si>
  <si>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</si>
  <si>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</si>
  <si>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</si>
  <si>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</si>
  <si>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</si>
  <si>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</si>
  <si>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</si>
  <si>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</si>
  <si>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</si>
  <si>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</si>
  <si>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</si>
  <si>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</si>
  <si>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</si>
  <si>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</si>
  <si>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</si>
  <si>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</si>
  <si>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</si>
  <si>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</si>
  <si>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</si>
  <si>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</si>
  <si>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</si>
  <si>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</si>
  <si>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</si>
  <si>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</si>
  <si>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</si>
  <si>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</si>
  <si>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</si>
  <si>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</si>
  <si>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</si>
  <si>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</si>
  <si>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</si>
  <si>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</si>
  <si>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</si>
  <si>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</si>
  <si>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</si>
  <si>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</si>
  <si>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</si>
  <si>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</si>
  <si>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</si>
  <si>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</si>
  <si>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</si>
  <si>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 xml:space="preserve">Pergunta de negócio 1 - qual o faturamento Total de vendas de planos anuais </t>
  </si>
  <si>
    <t>Pergunta de negócio 2 - qual o faturamento total de vendas, separado por autorenovação não e autorenovação</t>
  </si>
  <si>
    <t>EXBOX GAME PASS SUBSCRIPTIONS SALES</t>
  </si>
  <si>
    <t>pergunta 3 total de vendas de assinaturas do IA play</t>
  </si>
  <si>
    <t>Soma de EA Play Season Pass</t>
  </si>
  <si>
    <t>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</si>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</sst>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8" borderId="0" xfId="0" applyFill="1"/>
    <xf numFmtId="165" fontId="0" fillId="0" borderId="0" xfId="0" applyNumberFormat="1"/>
    <xf numFmtId="0" fontId="4" fillId="9" borderId="0" xfId="1" applyFont="1" applyFill="1" applyBorder="1" applyAlignment="1">
      <alignment horizontal="left"/>
    </xf>
    <xf numFmtId="0" fontId="0" fillId="0" borderId="2" xfId="0" applyBorder="1"/>
    <xf numFmtId="0" fontId="4" fillId="9" borderId="2" xfId="1" applyFont="1" applyFill="1" applyBorder="1" applyAlignment="1">
      <alignment horizontal="left" indent="13"/>
    </xf>
  </cellXfs>
  <cellStyles count="3">
    <cellStyle name="Moeda" xfId="2" builtinId="4"/>
    <cellStyle name="Normal" xfId="0" builtinId="0"/>
    <cellStyle name="Título 1" xfId="1" builtinId="16"/>
  </cellStyles>
  <dxfs count="28"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b/>
        <i val="0"/>
        <color theme="0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CD8F4216-A9B0-4CF6-A62C-2CB0F6E398BA}">
      <tableStyleElement type="wholeTable" dxfId="13"/>
      <tableStyleElement type="headerRow" dxfId="12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[BASE_PROOJETO_3.xlsx]C̳álculos!TBL_ANUAL_TOTAL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7922117657776123E-2"/>
          <c:y val="4.9014964124695193E-2"/>
          <c:w val="0.86913856281546531"/>
          <c:h val="0.8479722119888426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67-4F63-A3B5-BE07B6F5ABEE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67-4F63-A3B5-BE07B6F5AB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22C5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C̳álculos!$B$20:$B$22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C̳álculos!$C$20:$C$22</c:f>
              <c:numCache>
                <c:formatCode>"R$"\ #,##0.00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67-4F63-A3B5-BE07B6F5A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0779119"/>
        <c:axId val="560784879"/>
      </c:barChart>
      <c:catAx>
        <c:axId val="560779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0784879"/>
        <c:crosses val="autoZero"/>
        <c:auto val="1"/>
        <c:lblAlgn val="ctr"/>
        <c:lblOffset val="100"/>
        <c:noMultiLvlLbl val="0"/>
      </c:catAx>
      <c:valAx>
        <c:axId val="560784879"/>
        <c:scaling>
          <c:orientation val="minMax"/>
        </c:scaling>
        <c:delete val="0"/>
        <c:axPos val="b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077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102659</xdr:colOff>
      <xdr:row>0</xdr:row>
      <xdr:rowOff>448734</xdr:rowOff>
    </xdr:from>
    <xdr:to>
      <xdr:col>3</xdr:col>
      <xdr:colOff>66676</xdr:colOff>
      <xdr:row>2</xdr:row>
      <xdr:rowOff>244349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A541437-D923-43E0-93D2-28683D6C2F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1617"/>
        <a:stretch/>
      </xdr:blipFill>
      <xdr:spPr>
        <a:xfrm>
          <a:off x="2143126" y="448734"/>
          <a:ext cx="819150" cy="980948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</xdr:row>
      <xdr:rowOff>107526</xdr:rowOff>
    </xdr:from>
    <xdr:to>
      <xdr:col>1</xdr:col>
      <xdr:colOff>2244</xdr:colOff>
      <xdr:row>15</xdr:row>
      <xdr:rowOff>772113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19105664-F96B-4F0E-A8C3-DD206567B9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633608"/>
              <a:ext cx="2048162" cy="27835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187471</xdr:colOff>
      <xdr:row>7</xdr:row>
      <xdr:rowOff>171107</xdr:rowOff>
    </xdr:from>
    <xdr:to>
      <xdr:col>8</xdr:col>
      <xdr:colOff>604338</xdr:colOff>
      <xdr:row>10</xdr:row>
      <xdr:rowOff>712228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4C8E98D9-F4C9-DA95-E02A-97C9A6370241}"/>
            </a:ext>
          </a:extLst>
        </xdr:cNvPr>
        <xdr:cNvGrpSpPr/>
      </xdr:nvGrpSpPr>
      <xdr:grpSpPr>
        <a:xfrm>
          <a:off x="2233389" y="2279655"/>
          <a:ext cx="4289497" cy="1334436"/>
          <a:chOff x="2291730" y="1524001"/>
          <a:chExt cx="5815262" cy="1302417"/>
        </a:xfrm>
      </xdr:grpSpPr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A2DC3D2A-AEE9-FC30-83D9-69C5ED94F9EE}"/>
              </a:ext>
            </a:extLst>
          </xdr:cNvPr>
          <xdr:cNvGrpSpPr/>
        </xdr:nvGrpSpPr>
        <xdr:grpSpPr>
          <a:xfrm>
            <a:off x="2294522" y="1543050"/>
            <a:ext cx="5812470" cy="1283368"/>
            <a:chOff x="2695575" y="1737847"/>
            <a:chExt cx="2836516" cy="1283368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DC1DCAE1-30B4-41D8-8600-CC2A183E4378}"/>
                </a:ext>
              </a:extLst>
            </xdr:cNvPr>
            <xdr:cNvSpPr/>
          </xdr:nvSpPr>
          <xdr:spPr>
            <a:xfrm>
              <a:off x="2695575" y="1737847"/>
              <a:ext cx="2836516" cy="1283368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D36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7D150125-B0A2-4DC0-B21E-83F9A0A901D4}"/>
                </a:ext>
              </a:extLst>
            </xdr:cNvPr>
            <xdr:cNvSpPr/>
          </xdr:nvSpPr>
          <xdr:spPr>
            <a:xfrm>
              <a:off x="3702057" y="1927010"/>
              <a:ext cx="1684286" cy="925036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95BD8F27-7FDA-47C1-A524-233ED3AA7BCC}" type="TxLink">
                <a:rPr lang="en-US" sz="24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R$ 990,00</a:t>
              </a:fld>
              <a:endParaRPr lang="pt-BR" sz="2400">
                <a:solidFill>
                  <a:srgbClr val="22C55E"/>
                </a:solidFill>
              </a:endParaRPr>
            </a:p>
          </xdr:txBody>
        </xdr:sp>
      </xdr:grp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66C089CD-C091-44AB-A41A-4DBD664F7D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15169" y="1611801"/>
            <a:ext cx="1808949" cy="1165860"/>
          </a:xfrm>
          <a:prstGeom prst="rect">
            <a:avLst/>
          </a:prstGeom>
        </xdr:spPr>
      </xdr:pic>
      <xdr:sp macro="" textlink="">
        <xdr:nvSpPr>
          <xdr:cNvPr id="11" name="Retângulo: Cantos Superiores Recortados 10">
            <a:extLst>
              <a:ext uri="{FF2B5EF4-FFF2-40B4-BE49-F238E27FC236}">
                <a16:creationId xmlns:a16="http://schemas.microsoft.com/office/drawing/2014/main" id="{9924D919-F4ED-6E6F-F8A3-36DA04C5DB1A}"/>
              </a:ext>
            </a:extLst>
          </xdr:cNvPr>
          <xdr:cNvSpPr/>
        </xdr:nvSpPr>
        <xdr:spPr>
          <a:xfrm>
            <a:off x="2291730" y="1524001"/>
            <a:ext cx="5815262" cy="223443"/>
          </a:xfrm>
          <a:prstGeom prst="snip2SameRect">
            <a:avLst>
              <a:gd name="adj1" fmla="val 26923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TOTAL</a:t>
            </a:r>
            <a:r>
              <a:rPr lang="pt-BR" sz="1100" baseline="0"/>
              <a:t> SUBSCRIPTIONS EA PLAYS SEASON PASS</a:t>
            </a:r>
            <a:endParaRPr lang="pt-BR" sz="1100"/>
          </a:p>
        </xdr:txBody>
      </xdr:sp>
    </xdr:grpSp>
    <xdr:clientData/>
  </xdr:twoCellAnchor>
  <xdr:twoCellAnchor editAs="absolute">
    <xdr:from>
      <xdr:col>10</xdr:col>
      <xdr:colOff>164810</xdr:colOff>
      <xdr:row>7</xdr:row>
      <xdr:rowOff>171107</xdr:rowOff>
    </xdr:from>
    <xdr:to>
      <xdr:col>17</xdr:col>
      <xdr:colOff>378477</xdr:colOff>
      <xdr:row>10</xdr:row>
      <xdr:rowOff>712229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71C86074-D6E9-843B-39EE-4383B2251EB6}"/>
            </a:ext>
          </a:extLst>
        </xdr:cNvPr>
        <xdr:cNvGrpSpPr/>
      </xdr:nvGrpSpPr>
      <xdr:grpSpPr>
        <a:xfrm>
          <a:off x="7294207" y="2279655"/>
          <a:ext cx="4295065" cy="1334437"/>
          <a:chOff x="6704582" y="1465117"/>
          <a:chExt cx="3076199" cy="1313366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489BB56A-4650-4C14-855F-0612885EBECE}"/>
              </a:ext>
            </a:extLst>
          </xdr:cNvPr>
          <xdr:cNvGrpSpPr/>
        </xdr:nvGrpSpPr>
        <xdr:grpSpPr>
          <a:xfrm>
            <a:off x="6704582" y="1465117"/>
            <a:ext cx="3076199" cy="1313366"/>
            <a:chOff x="2291730" y="1524001"/>
            <a:chExt cx="5815262" cy="1302417"/>
          </a:xfrm>
        </xdr:grpSpPr>
        <xdr:grpSp>
          <xdr:nvGrpSpPr>
            <xdr:cNvPr id="16" name="Agrupar 15">
              <a:extLst>
                <a:ext uri="{FF2B5EF4-FFF2-40B4-BE49-F238E27FC236}">
                  <a16:creationId xmlns:a16="http://schemas.microsoft.com/office/drawing/2014/main" id="{042AA73B-7C7C-F4C3-FCDD-153682544FA8}"/>
                </a:ext>
              </a:extLst>
            </xdr:cNvPr>
            <xdr:cNvGrpSpPr/>
          </xdr:nvGrpSpPr>
          <xdr:grpSpPr>
            <a:xfrm>
              <a:off x="2294522" y="1543050"/>
              <a:ext cx="5812470" cy="1283368"/>
              <a:chOff x="2695575" y="1737847"/>
              <a:chExt cx="2836516" cy="1283368"/>
            </a:xfrm>
          </xdr:grpSpPr>
          <xdr:sp macro="" textlink="">
            <xdr:nvSpPr>
              <xdr:cNvPr id="19" name="Retângulo: Cantos Arredondados 18">
                <a:extLst>
                  <a:ext uri="{FF2B5EF4-FFF2-40B4-BE49-F238E27FC236}">
                    <a16:creationId xmlns:a16="http://schemas.microsoft.com/office/drawing/2014/main" id="{0A3142F1-2C90-40F2-E82C-7BAA895BC73E}"/>
                  </a:ext>
                </a:extLst>
              </xdr:cNvPr>
              <xdr:cNvSpPr/>
            </xdr:nvSpPr>
            <xdr:spPr>
              <a:xfrm>
                <a:off x="2695575" y="1737847"/>
                <a:ext cx="2836516" cy="1283368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2400"/>
              </a:p>
            </xdr:txBody>
          </xdr:sp>
          <xdr:sp macro="" textlink="C̳álculos!D48">
            <xdr:nvSpPr>
              <xdr:cNvPr id="20" name="Retângulo: Cantos Arredondados 19">
                <a:extLst>
                  <a:ext uri="{FF2B5EF4-FFF2-40B4-BE49-F238E27FC236}">
                    <a16:creationId xmlns:a16="http://schemas.microsoft.com/office/drawing/2014/main" id="{A27FE32C-5E97-0565-607D-E9BB9D546D6B}"/>
                  </a:ext>
                </a:extLst>
              </xdr:cNvPr>
              <xdr:cNvSpPr/>
            </xdr:nvSpPr>
            <xdr:spPr>
              <a:xfrm>
                <a:off x="3331686" y="1911284"/>
                <a:ext cx="2197878" cy="925036"/>
              </a:xfrm>
              <a:prstGeom prst="round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81E0AE24-DE6B-46F6-9D31-D08CF4BE9925}" type="TxLink">
                  <a:rPr lang="en-US" sz="2400" b="0" i="0" u="none" strike="noStrike">
                    <a:solidFill>
                      <a:srgbClr val="22C55E"/>
                    </a:solidFill>
                    <a:latin typeface="Aptos Narrow"/>
                  </a:rPr>
                  <a:t>R$ 1.140,00</a:t>
                </a:fld>
                <a:endParaRPr lang="pt-BR" sz="2400">
                  <a:solidFill>
                    <a:srgbClr val="22C55E"/>
                  </a:solidFill>
                </a:endParaRPr>
              </a:p>
            </xdr:txBody>
          </xdr:sp>
        </xdr:grpSp>
        <xdr:sp macro="" textlink="">
          <xdr:nvSpPr>
            <xdr:cNvPr id="18" name="Retângulo: Cantos Superiores Recortados 17">
              <a:extLst>
                <a:ext uri="{FF2B5EF4-FFF2-40B4-BE49-F238E27FC236}">
                  <a16:creationId xmlns:a16="http://schemas.microsoft.com/office/drawing/2014/main" id="{EA58071B-607E-90B1-34DC-DD46A3233E45}"/>
                </a:ext>
              </a:extLst>
            </xdr:cNvPr>
            <xdr:cNvSpPr/>
          </xdr:nvSpPr>
          <xdr:spPr>
            <a:xfrm>
              <a:off x="2291730" y="1524001"/>
              <a:ext cx="5815262" cy="223443"/>
            </a:xfrm>
            <a:prstGeom prst="snip2SameRect">
              <a:avLst>
                <a:gd name="adj1" fmla="val 26923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TOTAL</a:t>
              </a:r>
              <a:r>
                <a:rPr lang="pt-BR" sz="11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SUBSCRIPTIONS EA PLAYS SEASON PASS</a:t>
              </a:r>
              <a:endParaRPr lang="pt-BR" sz="2400">
                <a:effectLst/>
              </a:endParaRPr>
            </a:p>
          </xdr:txBody>
        </xdr:sp>
      </xdr:grp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2BB4D7E9-C1BD-43CA-8C7C-4B8B5D14EA03}"/>
              </a:ext>
            </a:extLst>
          </xdr:cNvPr>
          <xdr:cNvGrpSpPr/>
        </xdr:nvGrpSpPr>
        <xdr:grpSpPr>
          <a:xfrm>
            <a:off x="6815923" y="1825660"/>
            <a:ext cx="984296" cy="549505"/>
            <a:chOff x="3495675" y="5377490"/>
            <a:chExt cx="1549476" cy="752476"/>
          </a:xfrm>
        </xdr:grpSpPr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id="{FC7E3A14-76E9-2959-B468-5B03FD818DF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377490"/>
              <a:ext cx="555497" cy="609599"/>
            </a:xfrm>
            <a:prstGeom prst="rect">
              <a:avLst/>
            </a:prstGeom>
          </xdr:spPr>
        </xdr:pic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49FDAE68-B603-AAD0-B7C7-B18DFEF65ED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72753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15633</xdr:colOff>
      <xdr:row>10</xdr:row>
      <xdr:rowOff>892833</xdr:rowOff>
    </xdr:from>
    <xdr:to>
      <xdr:col>17</xdr:col>
      <xdr:colOff>376477</xdr:colOff>
      <xdr:row>21</xdr:row>
      <xdr:rowOff>45789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C94748FA-0B9C-C06C-3173-ACA99AB5DC61}"/>
            </a:ext>
          </a:extLst>
        </xdr:cNvPr>
        <xdr:cNvGrpSpPr/>
      </xdr:nvGrpSpPr>
      <xdr:grpSpPr>
        <a:xfrm>
          <a:off x="2301633" y="3794696"/>
          <a:ext cx="9285639" cy="2983833"/>
          <a:chOff x="2337564" y="3089252"/>
          <a:chExt cx="5769428" cy="2939785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A625038A-7FF6-69FB-3F38-EA64ADB47ED1}"/>
              </a:ext>
            </a:extLst>
          </xdr:cNvPr>
          <xdr:cNvGrpSpPr/>
        </xdr:nvGrpSpPr>
        <xdr:grpSpPr>
          <a:xfrm>
            <a:off x="2337564" y="3156856"/>
            <a:ext cx="5764630" cy="2872181"/>
            <a:chOff x="3109945" y="1580650"/>
            <a:chExt cx="5853080" cy="2915150"/>
          </a:xfrm>
        </xdr:grpSpPr>
        <xdr:sp macro="" textlink="">
          <xdr:nvSpPr>
            <xdr:cNvPr id="5" name="Retângulo 4">
              <a:extLst>
                <a:ext uri="{FF2B5EF4-FFF2-40B4-BE49-F238E27FC236}">
                  <a16:creationId xmlns:a16="http://schemas.microsoft.com/office/drawing/2014/main" id="{A7465BB7-1BF4-D77D-CAE2-BAF7B82314C6}"/>
                </a:ext>
              </a:extLst>
            </xdr:cNvPr>
            <xdr:cNvSpPr/>
          </xdr:nvSpPr>
          <xdr:spPr>
            <a:xfrm>
              <a:off x="3109945" y="1580650"/>
              <a:ext cx="5853080" cy="2915150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BA7518D3-FA0E-4DBF-ADA8-114A1B772EDB}"/>
                </a:ext>
              </a:extLst>
            </xdr:cNvPr>
            <xdr:cNvGraphicFramePr>
              <a:graphicFrameLocks/>
            </xdr:cNvGraphicFramePr>
          </xdr:nvGraphicFramePr>
          <xdr:xfrm>
            <a:off x="3171825" y="1628775"/>
            <a:ext cx="5791200" cy="28670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6" name="Retângulo: Cantos Superiores Recortados 25">
            <a:extLst>
              <a:ext uri="{FF2B5EF4-FFF2-40B4-BE49-F238E27FC236}">
                <a16:creationId xmlns:a16="http://schemas.microsoft.com/office/drawing/2014/main" id="{C5E6BF88-F887-4AB9-B19B-775DA8153E67}"/>
              </a:ext>
            </a:extLst>
          </xdr:cNvPr>
          <xdr:cNvSpPr/>
        </xdr:nvSpPr>
        <xdr:spPr>
          <a:xfrm>
            <a:off x="2337564" y="3089252"/>
            <a:ext cx="5769428" cy="223443"/>
          </a:xfrm>
          <a:prstGeom prst="snip2SameRect">
            <a:avLst>
              <a:gd name="adj1" fmla="val 26923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TOTAL</a:t>
            </a:r>
            <a:r>
              <a:rPr lang="pt-BR" sz="11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SUBSCRIPTIONS X BOX GAME PASS</a:t>
            </a:r>
          </a:p>
        </xdr:txBody>
      </xdr:sp>
    </xdr:grpSp>
    <xdr:clientData/>
  </xdr:twoCellAnchor>
  <xdr:twoCellAnchor editAs="absolute">
    <xdr:from>
      <xdr:col>0</xdr:col>
      <xdr:colOff>524932</xdr:colOff>
      <xdr:row>1</xdr:row>
      <xdr:rowOff>190884</xdr:rowOff>
    </xdr:from>
    <xdr:to>
      <xdr:col>0</xdr:col>
      <xdr:colOff>1430867</xdr:colOff>
      <xdr:row>3</xdr:row>
      <xdr:rowOff>42333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87B29019-7566-49EC-8B1B-55D7CBAC8449}"/>
            </a:ext>
          </a:extLst>
        </xdr:cNvPr>
        <xdr:cNvSpPr/>
      </xdr:nvSpPr>
      <xdr:spPr>
        <a:xfrm>
          <a:off x="524932" y="876684"/>
          <a:ext cx="905935" cy="850516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93133</xdr:colOff>
      <xdr:row>3</xdr:row>
      <xdr:rowOff>59267</xdr:rowOff>
    </xdr:from>
    <xdr:to>
      <xdr:col>0</xdr:col>
      <xdr:colOff>1947333</xdr:colOff>
      <xdr:row>7</xdr:row>
      <xdr:rowOff>25400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8F87D06C-FC5D-8FD1-5D46-A21BF439A11F}"/>
            </a:ext>
          </a:extLst>
        </xdr:cNvPr>
        <xdr:cNvSpPr/>
      </xdr:nvSpPr>
      <xdr:spPr>
        <a:xfrm>
          <a:off x="93133" y="1744134"/>
          <a:ext cx="1854200" cy="406399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" panose="020B0502040204020203" pitchFamily="34" charset="0"/>
              <a:cs typeface="Segoe UI" panose="020B0502040204020203" pitchFamily="34" charset="0"/>
            </a:rPr>
            <a:t>BEM VINDO(A)</a:t>
          </a:r>
        </a:p>
      </xdr:txBody>
    </xdr:sp>
    <xdr:clientData/>
  </xdr:twoCellAnchor>
  <xdr:twoCellAnchor editAs="absolute">
    <xdr:from>
      <xdr:col>1</xdr:col>
      <xdr:colOff>187077</xdr:colOff>
      <xdr:row>2</xdr:row>
      <xdr:rowOff>470657</xdr:rowOff>
    </xdr:from>
    <xdr:to>
      <xdr:col>13</xdr:col>
      <xdr:colOff>146136</xdr:colOff>
      <xdr:row>6</xdr:row>
      <xdr:rowOff>71447</xdr:rowOff>
    </xdr:to>
    <xdr:sp macro="" textlink="">
      <xdr:nvSpPr>
        <xdr:cNvPr id="32" name="Retângulo: Cantos Arredondados 31">
          <a:extLst>
            <a:ext uri="{FF2B5EF4-FFF2-40B4-BE49-F238E27FC236}">
              <a16:creationId xmlns:a16="http://schemas.microsoft.com/office/drawing/2014/main" id="{9917E6AE-2C80-4201-93DC-2275F9AF0721}"/>
            </a:ext>
          </a:extLst>
        </xdr:cNvPr>
        <xdr:cNvSpPr/>
      </xdr:nvSpPr>
      <xdr:spPr>
        <a:xfrm>
          <a:off x="2232995" y="1650191"/>
          <a:ext cx="6702237" cy="40454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400" b="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periodo</a:t>
          </a:r>
          <a:r>
            <a:rPr lang="pt-BR" sz="1400" b="0" baseline="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 de apuração: 01/01/2024 - 31/12/2024 | updade18/10/2026</a:t>
          </a:r>
          <a:endParaRPr lang="pt-BR" sz="1400" b="0">
            <a:solidFill>
              <a:schemeClr val="tx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or souza" refreshedDate="46312.974670833333" createdVersion="8" refreshedVersion="8" minRefreshableVersion="3" recordCount="295" xr:uid="{E45EBD78-2762-491E-8C2D-0CD09167D368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28741068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C2A391-89B3-4BE1-9605-C3C8273CA909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44:C4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sd="0" x="0"/>
        <item sd="0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/>
  </dataFields>
  <formats count="1">
    <format dxfId="1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7C5E16-F7ED-423B-B8DF-C38343876187}" name="tbl_easeasonpass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sd="0" x="0"/>
        <item sd="0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formats count="1">
    <format dxfId="1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B0741C-FA88-44CF-A0C5-7E1D49081DF6}" name="TBL_ANUAL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9:C2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sd="0" x="0"/>
        <item sd="0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165"/>
  </dataFields>
  <formats count="1">
    <format dxfId="9">
      <pivotArea outline="0" collapsedLevelsAreSubtotals="1" fieldPosition="0"/>
    </format>
  </formats>
  <chartFormats count="3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9590F26-349B-47A9-A87D-E1BF91CC4963}" sourceName="Subscription Type">
  <pivotTables>
    <pivotTable tabId="3" name="TBL_ANUAL_TOTAL"/>
    <pivotTable tabId="3" name="tbl_easeasonpass"/>
    <pivotTable tabId="3" name="Tabela dinâmica2"/>
  </pivotTables>
  <data>
    <tabular pivotCacheId="1287410689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7282CDDE-F361-4557-981B-BAB34C3F0B4F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7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26"/>
    <tableColumn id="2" xr3:uid="{53DD39D0-2220-4121-9E9D-4EAA7E151C0F}" name="Name" dataDxfId="25"/>
    <tableColumn id="3" xr3:uid="{4F5FF271-4C57-4BE0-8F2C-F82C8551625C}" name="Plan" dataDxfId="24"/>
    <tableColumn id="4" xr3:uid="{8C17EB93-79B9-4E55-B8F7-BEB82F8253E9}" name="Start Date" dataDxfId="23"/>
    <tableColumn id="5" xr3:uid="{48CEDF9B-1689-482A-A828-5CCE7713264A}" name="Auto Renewal" dataDxfId="22"/>
    <tableColumn id="6" xr3:uid="{78B82374-9AA7-4E38-AE4F-78CDE6C83720}" name="Subscription Price" dataDxfId="21" dataCellStyle="Moeda"/>
    <tableColumn id="7" xr3:uid="{F2433F68-AF33-49D0-B1FB-19A396074EDE}" name="Subscription Type" dataDxfId="20"/>
    <tableColumn id="8" xr3:uid="{FD4D9C95-F6E5-4933-9068-A71FF7DF9343}" name="EA Play Season Pass" dataDxfId="19"/>
    <tableColumn id="13" xr3:uid="{978DD0D2-834E-4CE4-A39B-30976086932F}" name="EA Play Season Pass_x000a_Price" dataDxfId="18" dataCellStyle="Moeda"/>
    <tableColumn id="9" xr3:uid="{6E29F111-C395-4580-9DAD-3407D9E8B1A4}" name="Minecraft Season Pass" dataDxfId="17"/>
    <tableColumn id="10" xr3:uid="{EF544EAA-7F25-4FD5-A10E-8E62804DB9E3}" name="Minecraft Season Pass Price" dataDxfId="16" dataCellStyle="Moeda"/>
    <tableColumn id="11" xr3:uid="{7F6EB64A-1F07-4E48-9F0F-AC7D9DCD26F8}" name="Coupon Value" dataDxfId="15" dataCellStyle="Moeda"/>
    <tableColumn id="12" xr3:uid="{2B04ABC8-DE6F-426E-ADC0-D8AFC68CA58E}" name="Total Value" dataDxfId="1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2" zoomScaleNormal="100" workbookViewId="0">
      <selection activeCell="D29" sqref="D29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D29" sqref="D29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5:D48"/>
  <sheetViews>
    <sheetView showGridLines="0" topLeftCell="A4" workbookViewId="0">
      <selection activeCell="D29" sqref="D29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34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5" spans="2:2" x14ac:dyDescent="0.3">
      <c r="B5" t="s">
        <v>316</v>
      </c>
    </row>
    <row r="6" spans="2:2" x14ac:dyDescent="0.3">
      <c r="B6" t="s">
        <v>317</v>
      </c>
    </row>
    <row r="17" spans="2:3" x14ac:dyDescent="0.3">
      <c r="B17" s="12" t="s">
        <v>16</v>
      </c>
      <c r="C17" t="s">
        <v>27</v>
      </c>
    </row>
    <row r="19" spans="2:3" x14ac:dyDescent="0.3">
      <c r="B19" s="12" t="s">
        <v>313</v>
      </c>
      <c r="C19" t="s">
        <v>315</v>
      </c>
    </row>
    <row r="20" spans="2:3" x14ac:dyDescent="0.3">
      <c r="B20" s="13" t="s">
        <v>23</v>
      </c>
      <c r="C20" s="16">
        <v>806</v>
      </c>
    </row>
    <row r="21" spans="2:3" x14ac:dyDescent="0.3">
      <c r="B21" s="13" t="s">
        <v>19</v>
      </c>
      <c r="C21" s="16">
        <v>1502</v>
      </c>
    </row>
    <row r="22" spans="2:3" x14ac:dyDescent="0.3">
      <c r="B22" s="13" t="s">
        <v>314</v>
      </c>
      <c r="C22" s="16">
        <v>2308</v>
      </c>
    </row>
    <row r="26" spans="2:3" x14ac:dyDescent="0.3">
      <c r="B26" t="s">
        <v>319</v>
      </c>
    </row>
    <row r="30" spans="2:3" x14ac:dyDescent="0.3">
      <c r="B30" s="12" t="s">
        <v>16</v>
      </c>
      <c r="C30" t="s">
        <v>27</v>
      </c>
    </row>
    <row r="32" spans="2:3" x14ac:dyDescent="0.3">
      <c r="B32" s="12" t="s">
        <v>313</v>
      </c>
      <c r="C32" t="s">
        <v>320</v>
      </c>
    </row>
    <row r="33" spans="2:4" x14ac:dyDescent="0.3">
      <c r="B33" s="13" t="s">
        <v>22</v>
      </c>
      <c r="C33" s="14">
        <v>0</v>
      </c>
    </row>
    <row r="34" spans="2:4" x14ac:dyDescent="0.3">
      <c r="B34" s="13" t="s">
        <v>26</v>
      </c>
      <c r="C34" s="14">
        <v>0</v>
      </c>
    </row>
    <row r="35" spans="2:4" x14ac:dyDescent="0.3">
      <c r="B35" s="13" t="s">
        <v>18</v>
      </c>
      <c r="C35" s="14">
        <v>990</v>
      </c>
    </row>
    <row r="36" spans="2:4" x14ac:dyDescent="0.3">
      <c r="B36" s="13" t="s">
        <v>314</v>
      </c>
      <c r="C36" s="16">
        <v>990</v>
      </c>
      <c r="D36" s="16">
        <f>GETPIVOTDATA("EA Play Season Pass
Price",$B$32)</f>
        <v>990</v>
      </c>
    </row>
    <row r="39" spans="2:4" x14ac:dyDescent="0.3">
      <c r="B39" s="13" t="s">
        <v>321</v>
      </c>
    </row>
    <row r="42" spans="2:4" x14ac:dyDescent="0.3">
      <c r="B42" s="12" t="s">
        <v>16</v>
      </c>
      <c r="C42" t="s">
        <v>27</v>
      </c>
    </row>
    <row r="44" spans="2:4" x14ac:dyDescent="0.3">
      <c r="B44" s="12" t="s">
        <v>313</v>
      </c>
      <c r="C44" t="s">
        <v>322</v>
      </c>
    </row>
    <row r="45" spans="2:4" x14ac:dyDescent="0.3">
      <c r="B45" s="13" t="s">
        <v>22</v>
      </c>
      <c r="C45" s="14">
        <v>0</v>
      </c>
    </row>
    <row r="46" spans="2:4" x14ac:dyDescent="0.3">
      <c r="B46" s="13" t="s">
        <v>26</v>
      </c>
      <c r="C46" s="14">
        <v>480</v>
      </c>
    </row>
    <row r="47" spans="2:4" x14ac:dyDescent="0.3">
      <c r="B47" s="13" t="s">
        <v>18</v>
      </c>
      <c r="C47" s="14">
        <v>660</v>
      </c>
    </row>
    <row r="48" spans="2:4" x14ac:dyDescent="0.3">
      <c r="B48" s="13" t="s">
        <v>314</v>
      </c>
      <c r="C48" s="16">
        <v>1140</v>
      </c>
      <c r="D48" s="16">
        <f>GETPIVOTDATA("Minecraft Season Pass Price",$B$44)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R16"/>
  <sheetViews>
    <sheetView showGridLines="0" tabSelected="1" zoomScale="73" zoomScaleNormal="80" workbookViewId="0">
      <selection activeCell="AA1" sqref="AA1"/>
    </sheetView>
  </sheetViews>
  <sheetFormatPr defaultRowHeight="14.4" x14ac:dyDescent="0.3"/>
  <cols>
    <col min="1" max="1" width="29.77734375" style="4" customWidth="1"/>
    <col min="2" max="2" width="3.5546875" style="15" customWidth="1"/>
    <col min="3" max="11" width="8.88671875" style="15"/>
    <col min="12" max="12" width="6.5546875" style="15" customWidth="1"/>
    <col min="13" max="16384" width="8.88671875" style="15"/>
  </cols>
  <sheetData>
    <row r="1" spans="1:18" customFormat="1" ht="54" customHeight="1" x14ac:dyDescent="0.3">
      <c r="A1" s="4"/>
    </row>
    <row r="2" spans="1:18" customFormat="1" ht="39" customHeight="1" thickBot="1" x14ac:dyDescent="0.6">
      <c r="A2" s="4"/>
      <c r="C2" s="19" t="s">
        <v>318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8"/>
    </row>
    <row r="3" spans="1:18" customFormat="1" ht="39" customHeight="1" thickTop="1" x14ac:dyDescent="0.55000000000000004">
      <c r="A3" s="4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8" ht="8.25" customHeight="1" x14ac:dyDescent="0.3"/>
    <row r="5" spans="1:18" ht="7.5" customHeight="1" x14ac:dyDescent="0.3"/>
    <row r="6" spans="1:18" ht="10.5" customHeight="1" x14ac:dyDescent="0.3"/>
    <row r="7" spans="1:18" ht="9.75" customHeight="1" x14ac:dyDescent="0.3"/>
    <row r="8" spans="1:18" ht="33" customHeight="1" x14ac:dyDescent="0.3"/>
    <row r="11" spans="1:18" ht="78" customHeight="1" x14ac:dyDescent="0.3"/>
    <row r="16" spans="1:18" ht="90" customHeight="1" x14ac:dyDescent="0.3"/>
  </sheetData>
  <mergeCells count="1">
    <mergeCell ref="C2:Q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vitor souza</cp:lastModifiedBy>
  <dcterms:created xsi:type="dcterms:W3CDTF">2024-12-19T13:13:10Z</dcterms:created>
  <dcterms:modified xsi:type="dcterms:W3CDTF">2026-10-18T06:03:39Z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