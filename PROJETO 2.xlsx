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2efc864c877ab1/Área de Trabalho/organização/DIO projeto/"/>
    </mc:Choice>
  </mc:AlternateContent>
  <xr:revisionPtr revIDLastSave="5" documentId="8_{0A7E5DBA-130B-4DD2-931B-90D4FB3F2704}" xr6:coauthVersionLast="47" xr6:coauthVersionMax="47" xr10:uidLastSave="{323265EA-388D-4BA5-8A52-8012108F2D2A}"/>
  <bookViews>
    <workbookView xWindow="-108" yWindow="-108" windowWidth="23256" windowHeight="12576" activeTab="2" xr2:uid="{ED3A0170-A5CC-4FCF-AE9D-6854162CEAF4}"/>
  </bookViews>
  <sheets>
    <sheet name="TITULAR" sheetId="1" r:id="rId1"/>
    <sheet name=" INFORMES" sheetId="2" r:id="rId2"/>
    <sheet name="NOTAS" sheetId="3" r:id="rId3"/>
    <sheet name="Planilha1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4" l="1"/>
  <c r="E4" i="4"/>
  <c r="D5" i="4"/>
  <c r="E5" i="4"/>
  <c r="D6" i="4"/>
  <c r="E6" i="4"/>
  <c r="D8" i="2"/>
</calcChain>
</file>

<file path=xl/sharedStrings.xml><?xml version="1.0" encoding="utf-8"?>
<sst xmlns="http://schemas.openxmlformats.org/spreadsheetml/2006/main" count="102" uniqueCount="87">
  <si>
    <t>NOME</t>
  </si>
  <si>
    <t>CPF</t>
  </si>
  <si>
    <t>NASCIMENTO</t>
  </si>
  <si>
    <t>TÍTULO DE ELEITOR</t>
  </si>
  <si>
    <t>CÔNJUGE</t>
  </si>
  <si>
    <t xml:space="preserve">RUA </t>
  </si>
  <si>
    <t>RUA ABREVIADA</t>
  </si>
  <si>
    <t xml:space="preserve">CEP </t>
  </si>
  <si>
    <t>TELEFONE</t>
  </si>
  <si>
    <t>CELULAR</t>
  </si>
  <si>
    <t>E-MAIL</t>
  </si>
  <si>
    <t>HOUVE ALTERAÇÕES NO ANTERIOR</t>
  </si>
  <si>
    <t>DEPENDETE CÔNJUGE</t>
  </si>
  <si>
    <t>RESIDENTE DO EXTERIOR</t>
  </si>
  <si>
    <t>1. DADOS DO TITULAR</t>
  </si>
  <si>
    <t>PRENCHA COM DADOS DE PESSOA FISICA</t>
  </si>
  <si>
    <t>GMAIL</t>
  </si>
  <si>
    <t>AMALIA</t>
  </si>
  <si>
    <t>AV AMALIA</t>
  </si>
  <si>
    <t>EU</t>
  </si>
  <si>
    <t>SIM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</si>
  <si>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</si>
  <si>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</si>
  <si>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</si>
  <si>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</si>
  <si>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</si>
  <si>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</si>
  <si>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</si>
  <si>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</si>
  <si>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</si>
  <si>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</si>
  <si>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</si>
  <si>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</si>
  <si>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</si>
  <si>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</si>
  <si>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</si>
  <si>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</si>
  <si>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</si>
  <si>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</si>
  <si>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</si>
  <si>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</si>
  <si>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</si>
  <si>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</si>
  <si>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</si>
  <si>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</si>
  <si>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</si>
  <si>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</si>
  <si>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</si>
  <si>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</si>
  <si>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</si>
  <si>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</si>
  <si>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</si>
  <si>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</si>
  <si>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</si>
  <si>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</si>
  <si>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</si>
  <si>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</si>
  <si>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</si>
  <si>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</si>
  <si>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</si>
  <si>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</si>
  <si>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</si>
  <si>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</si>
  <si>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</si>
  <si>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</si>
  <si>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</si>
  <si>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</si>
  <si>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</si>
  <si>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</si>
  <si>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</si>
  <si>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</si>
  <si>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</si>
  <si>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</si>
  <si>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</si>
  <si>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</si>
  <si>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ALGUÉM</t>
  </si>
  <si>
    <t>BANCO 1</t>
  </si>
  <si>
    <t>BANCO 2</t>
  </si>
  <si>
    <t>BANCO 3</t>
  </si>
  <si>
    <t>TOTAL</t>
  </si>
  <si>
    <t>3. NOTAS BANCÁRIAS OU EXTRATO DE HOLERITES</t>
  </si>
  <si>
    <t>2. informes bancários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</si>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</sst>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&quot;.&quot;000&quot;.&quot;000&quot;-&quot;00"/>
    <numFmt numFmtId="165" formatCode="00000\-000"/>
    <numFmt numFmtId="166" formatCode="&quot;(&quot;00&quot;)&quot;&quot; &quot;00000&quot;-&quot;0000"/>
    <numFmt numFmtId="167" formatCode="&quot;(&quot;00&quot;)&quot;&quot; &quot;0000&quot;-&quot;0000"/>
    <numFmt numFmtId="168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rgb="FFFF0000"/>
      <name val="Felix Titling"/>
      <family val="5"/>
    </font>
    <font>
      <sz val="11"/>
      <color theme="1"/>
      <name val="Felix Titling"/>
      <family val="5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D3D3D"/>
        <bgColor indexed="64"/>
      </patternFill>
    </fill>
    <fill>
      <patternFill patternType="solid">
        <fgColor rgb="FFFCDA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480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D9480F"/>
      </bottom>
      <diagonal/>
    </border>
    <border>
      <left/>
      <right/>
      <top style="thick">
        <color rgb="FFD9480F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5">
    <xf numFmtId="0" fontId="0" fillId="0" borderId="0" xfId="0"/>
    <xf numFmtId="0" fontId="0" fillId="2" borderId="0" xfId="0" applyFill="1"/>
    <xf numFmtId="0" fontId="4" fillId="0" borderId="3" xfId="2" applyFont="1" applyBorder="1"/>
    <xf numFmtId="0" fontId="5" fillId="0" borderId="0" xfId="0" applyFont="1"/>
    <xf numFmtId="0" fontId="5" fillId="2" borderId="0" xfId="0" applyFont="1" applyFill="1"/>
    <xf numFmtId="0" fontId="5" fillId="0" borderId="2" xfId="0" applyFont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64" fontId="5" fillId="3" borderId="2" xfId="1" applyNumberFormat="1" applyFont="1" applyFill="1" applyBorder="1" applyAlignment="1">
      <alignment horizontal="left" vertical="center"/>
    </xf>
    <xf numFmtId="14" fontId="5" fillId="3" borderId="2" xfId="0" applyNumberFormat="1" applyFont="1" applyFill="1" applyBorder="1" applyAlignment="1">
      <alignment horizontal="left" vertical="center"/>
    </xf>
    <xf numFmtId="165" fontId="5" fillId="3" borderId="2" xfId="0" applyNumberFormat="1" applyFont="1" applyFill="1" applyBorder="1" applyAlignment="1">
      <alignment horizontal="left" vertical="center"/>
    </xf>
    <xf numFmtId="166" fontId="5" fillId="3" borderId="2" xfId="0" applyNumberFormat="1" applyFont="1" applyFill="1" applyBorder="1" applyAlignment="1">
      <alignment horizontal="left" vertical="center"/>
    </xf>
    <xf numFmtId="167" fontId="5" fillId="3" borderId="2" xfId="0" applyNumberFormat="1" applyFont="1" applyFill="1" applyBorder="1" applyAlignment="1">
      <alignment horizontal="left" vertical="center"/>
    </xf>
    <xf numFmtId="168" fontId="5" fillId="3" borderId="2" xfId="1" applyNumberFormat="1" applyFont="1" applyFill="1" applyBorder="1" applyAlignment="1">
      <alignment horizontal="left" vertical="center"/>
    </xf>
    <xf numFmtId="0" fontId="3" fillId="4" borderId="0" xfId="0" applyFont="1" applyFill="1"/>
    <xf numFmtId="0" fontId="5" fillId="0" borderId="0" xfId="0" applyFont="1" applyFill="1" applyBorder="1" applyAlignment="1">
      <alignment horizontal="left"/>
    </xf>
    <xf numFmtId="0" fontId="5" fillId="3" borderId="0" xfId="0" applyFont="1" applyFill="1"/>
    <xf numFmtId="168" fontId="5" fillId="3" borderId="0" xfId="0" applyNumberFormat="1" applyFont="1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5" fillId="3" borderId="4" xfId="0" applyFont="1" applyFill="1" applyBorder="1" applyAlignment="1">
      <alignment horizontal="left" vertical="center" indent="4"/>
    </xf>
    <xf numFmtId="0" fontId="6" fillId="5" borderId="0" xfId="0" applyFont="1" applyFill="1" applyAlignment="1">
      <alignment horizontal="center" vertical="center"/>
    </xf>
    <xf numFmtId="168" fontId="0" fillId="0" borderId="0" xfId="0" applyNumberFormat="1"/>
  </cellXfs>
  <cellStyles count="3">
    <cellStyle name="Normal" xfId="0" builtinId="0"/>
    <cellStyle name="Título 1" xfId="2" builtinId="16"/>
    <cellStyle name="Vírgula" xfId="1" builtinId="3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elix Titling"/>
        <family val="5"/>
        <scheme val="none"/>
      </font>
      <numFmt numFmtId="168" formatCode="&quot;R$&quot;\ #,##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7A889"/>
      <color rgb="FFD9480F"/>
      <color rgb="FFFCDACC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</a:t>
            </a:r>
            <a:r>
              <a:rPr lang="en-US" baseline="0"/>
              <a:t> POR BANCO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Planilha1!$E$3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F7A889"/>
            </a:solidFill>
            <a:ln>
              <a:noFill/>
            </a:ln>
            <a:effectLst/>
          </c:spPr>
          <c:invertIfNegative val="0"/>
          <c:cat>
            <c:strRef>
              <c:f>Planilha1!$D$4:$D$6</c:f>
              <c:strCache>
                <c:ptCount val="3"/>
                <c:pt idx="0">
                  <c:v>218 - Banco Bonsucesso</c:v>
                </c:pt>
                <c:pt idx="1">
                  <c:v>208 - Banco BTG Pactual</c:v>
                </c:pt>
                <c:pt idx="2">
                  <c:v>212 - Banco Original</c:v>
                </c:pt>
              </c:strCache>
            </c:strRef>
          </c:cat>
          <c:val>
            <c:numRef>
              <c:f>Planilha1!$E$4:$E$6</c:f>
              <c:numCache>
                <c:formatCode>"R$"\ #,##0.00</c:formatCode>
                <c:ptCount val="3"/>
                <c:pt idx="0">
                  <c:v>80000000</c:v>
                </c:pt>
                <c:pt idx="1">
                  <c:v>50000000</c:v>
                </c:pt>
                <c:pt idx="2">
                  <c:v>40000000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E-480D-8E43-2CA9E2FEA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653343"/>
        <c:axId val="1783665343"/>
      </c:barChart>
      <c:catAx>
        <c:axId val="178365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665343"/>
        <c:crosses val="autoZero"/>
        <c:auto val="1"/>
        <c:lblAlgn val="ctr"/>
        <c:lblOffset val="100"/>
        <c:noMultiLvlLbl val="0"/>
      </c:catAx>
      <c:valAx>
        <c:axId val="1783665343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65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 INFORMES'!B1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5" Type="http://schemas.openxmlformats.org/officeDocument/2006/relationships/hyperlink" Target="#' INFORMES'!A1"/><Relationship Id="rId4" Type="http://schemas.openxmlformats.org/officeDocument/2006/relationships/hyperlink" Target="#NOTAS!B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 INFORMES'!B1"/><Relationship Id="rId7" Type="http://schemas.openxmlformats.org/officeDocument/2006/relationships/chart" Target="../charts/chart1.xml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hyperlink" Target="#NOTAS!A1"/><Relationship Id="rId4" Type="http://schemas.openxmlformats.org/officeDocument/2006/relationships/hyperlink" Target="#NOTAS!B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 INFORMES'!B1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5" Type="http://schemas.openxmlformats.org/officeDocument/2006/relationships/hyperlink" Target="#' INFORMES'!A1"/><Relationship Id="rId4" Type="http://schemas.openxmlformats.org/officeDocument/2006/relationships/hyperlink" Target="#NOTAS!B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30044</xdr:rowOff>
    </xdr:from>
    <xdr:to>
      <xdr:col>0</xdr:col>
      <xdr:colOff>2689860</xdr:colOff>
      <xdr:row>14</xdr:row>
      <xdr:rowOff>92481</xdr:rowOff>
    </xdr:to>
    <xdr:pic>
      <xdr:nvPicPr>
        <xdr:cNvPr id="21" name="Imagem 20" descr="Bold Lion Head Logo – Logo Icons">
          <a:extLst>
            <a:ext uri="{FF2B5EF4-FFF2-40B4-BE49-F238E27FC236}">
              <a16:creationId xmlns:a16="http://schemas.microsoft.com/office/drawing/2014/main" id="{B0D3B487-04BF-4DE0-9304-50BF3326F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982"/>
          <a:ext cx="2689860" cy="2516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146685</xdr:colOff>
      <xdr:row>0</xdr:row>
      <xdr:rowOff>30480</xdr:rowOff>
    </xdr:from>
    <xdr:to>
      <xdr:col>0</xdr:col>
      <xdr:colOff>2543175</xdr:colOff>
      <xdr:row>2</xdr:row>
      <xdr:rowOff>76502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1FE8D7D5-AA24-47D4-B4E2-D332722BB5A0}"/>
            </a:ext>
          </a:extLst>
        </xdr:cNvPr>
        <xdr:cNvSpPr/>
      </xdr:nvSpPr>
      <xdr:spPr>
        <a:xfrm>
          <a:off x="146685" y="30480"/>
          <a:ext cx="2396490" cy="4419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D9480F"/>
              </a:solidFill>
              <a:latin typeface="Algerian" panose="04020705040A02060702" pitchFamily="82" charset="0"/>
            </a:rPr>
            <a:t>RECEITA</a:t>
          </a:r>
          <a:r>
            <a:rPr lang="pt-BR" sz="2000" b="1" baseline="0">
              <a:solidFill>
                <a:srgbClr val="D9480F"/>
              </a:solidFill>
              <a:latin typeface="Algerian" panose="04020705040A02060702" pitchFamily="82" charset="0"/>
            </a:rPr>
            <a:t>  FÁCIL</a:t>
          </a:r>
        </a:p>
      </xdr:txBody>
    </xdr:sp>
    <xdr:clientData/>
  </xdr:twoCellAnchor>
  <xdr:twoCellAnchor editAs="absolute">
    <xdr:from>
      <xdr:col>0</xdr:col>
      <xdr:colOff>422910</xdr:colOff>
      <xdr:row>14</xdr:row>
      <xdr:rowOff>129843</xdr:rowOff>
    </xdr:from>
    <xdr:to>
      <xdr:col>0</xdr:col>
      <xdr:colOff>2266950</xdr:colOff>
      <xdr:row>17</xdr:row>
      <xdr:rowOff>69335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3671A1-FDBF-72BA-7A1D-3E21A81354B4}"/>
            </a:ext>
          </a:extLst>
        </xdr:cNvPr>
        <xdr:cNvSpPr/>
      </xdr:nvSpPr>
      <xdr:spPr>
        <a:xfrm>
          <a:off x="422910" y="2979421"/>
          <a:ext cx="1844040" cy="533400"/>
        </a:xfrm>
        <a:prstGeom prst="roundRect">
          <a:avLst>
            <a:gd name="adj" fmla="val 50000"/>
          </a:avLst>
        </a:prstGeom>
        <a:solidFill>
          <a:srgbClr val="D9480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422910</xdr:colOff>
      <xdr:row>18</xdr:row>
      <xdr:rowOff>94346</xdr:rowOff>
    </xdr:from>
    <xdr:to>
      <xdr:col>0</xdr:col>
      <xdr:colOff>2266950</xdr:colOff>
      <xdr:row>21</xdr:row>
      <xdr:rowOff>35649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764F30-853F-40C2-91CF-797E2205FC7B}"/>
            </a:ext>
          </a:extLst>
        </xdr:cNvPr>
        <xdr:cNvSpPr/>
      </xdr:nvSpPr>
      <xdr:spPr>
        <a:xfrm>
          <a:off x="422910" y="3737611"/>
          <a:ext cx="184404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422910</xdr:colOff>
      <xdr:row>22</xdr:row>
      <xdr:rowOff>45419</xdr:rowOff>
    </xdr:from>
    <xdr:to>
      <xdr:col>0</xdr:col>
      <xdr:colOff>2266950</xdr:colOff>
      <xdr:row>24</xdr:row>
      <xdr:rowOff>181070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23A1CA-A224-4F0C-AC11-6497E03481BC}"/>
            </a:ext>
          </a:extLst>
        </xdr:cNvPr>
        <xdr:cNvSpPr/>
      </xdr:nvSpPr>
      <xdr:spPr>
        <a:xfrm>
          <a:off x="422910" y="4480561"/>
          <a:ext cx="184404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 editAs="absolute">
    <xdr:from>
      <xdr:col>3</xdr:col>
      <xdr:colOff>9788</xdr:colOff>
      <xdr:row>21</xdr:row>
      <xdr:rowOff>7696</xdr:rowOff>
    </xdr:from>
    <xdr:to>
      <xdr:col>3</xdr:col>
      <xdr:colOff>3614962</xdr:colOff>
      <xdr:row>22</xdr:row>
      <xdr:rowOff>188916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3A27289-DCAE-B120-EF6B-4F21653CF248}"/>
            </a:ext>
          </a:extLst>
        </xdr:cNvPr>
        <xdr:cNvSpPr/>
      </xdr:nvSpPr>
      <xdr:spPr>
        <a:xfrm>
          <a:off x="7101669" y="4202468"/>
          <a:ext cx="3605174" cy="377379"/>
        </a:xfrm>
        <a:prstGeom prst="rect">
          <a:avLst/>
        </a:prstGeom>
        <a:solidFill>
          <a:srgbClr val="D9480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PROXIMO</a:t>
          </a:r>
          <a:r>
            <a:rPr lang="pt-BR" sz="1100" baseline="0"/>
            <a:t>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37361</xdr:rowOff>
    </xdr:from>
    <xdr:to>
      <xdr:col>0</xdr:col>
      <xdr:colOff>2689860</xdr:colOff>
      <xdr:row>14</xdr:row>
      <xdr:rowOff>99798</xdr:rowOff>
    </xdr:to>
    <xdr:pic>
      <xdr:nvPicPr>
        <xdr:cNvPr id="2" name="Imagem 1" descr="Bold Lion Head Logo – Logo Icons">
          <a:extLst>
            <a:ext uri="{FF2B5EF4-FFF2-40B4-BE49-F238E27FC236}">
              <a16:creationId xmlns:a16="http://schemas.microsoft.com/office/drawing/2014/main" id="{5734C639-F3DF-408D-A41A-1938CD5CA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601"/>
          <a:ext cx="2689860" cy="2516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146685</xdr:colOff>
      <xdr:row>0</xdr:row>
      <xdr:rowOff>38099</xdr:rowOff>
    </xdr:from>
    <xdr:to>
      <xdr:col>0</xdr:col>
      <xdr:colOff>2543175</xdr:colOff>
      <xdr:row>2</xdr:row>
      <xdr:rowOff>83819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14C06C8-CFE6-407B-8E67-A351E19985FE}"/>
            </a:ext>
          </a:extLst>
        </xdr:cNvPr>
        <xdr:cNvSpPr/>
      </xdr:nvSpPr>
      <xdr:spPr>
        <a:xfrm>
          <a:off x="146685" y="38099"/>
          <a:ext cx="2396490" cy="4419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D9480F"/>
              </a:solidFill>
              <a:latin typeface="Algerian" panose="04020705040A02060702" pitchFamily="82" charset="0"/>
            </a:rPr>
            <a:t>RECEITA</a:t>
          </a:r>
          <a:r>
            <a:rPr lang="pt-BR" sz="2000" b="1" baseline="0">
              <a:solidFill>
                <a:srgbClr val="D9480F"/>
              </a:solidFill>
              <a:latin typeface="Algerian" panose="04020705040A02060702" pitchFamily="82" charset="0"/>
            </a:rPr>
            <a:t>  FÁCIL</a:t>
          </a:r>
        </a:p>
      </xdr:txBody>
    </xdr:sp>
    <xdr:clientData/>
  </xdr:twoCellAnchor>
  <xdr:twoCellAnchor editAs="absolute">
    <xdr:from>
      <xdr:col>0</xdr:col>
      <xdr:colOff>422910</xdr:colOff>
      <xdr:row>14</xdr:row>
      <xdr:rowOff>137160</xdr:rowOff>
    </xdr:from>
    <xdr:to>
      <xdr:col>0</xdr:col>
      <xdr:colOff>2266950</xdr:colOff>
      <xdr:row>17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6FB4EE-7A17-402E-9CC1-C0F77B708AE2}"/>
            </a:ext>
          </a:extLst>
        </xdr:cNvPr>
        <xdr:cNvSpPr/>
      </xdr:nvSpPr>
      <xdr:spPr>
        <a:xfrm>
          <a:off x="422910" y="2987040"/>
          <a:ext cx="184404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422910</xdr:colOff>
      <xdr:row>18</xdr:row>
      <xdr:rowOff>95250</xdr:rowOff>
    </xdr:from>
    <xdr:to>
      <xdr:col>0</xdr:col>
      <xdr:colOff>2266950</xdr:colOff>
      <xdr:row>21</xdr:row>
      <xdr:rowOff>34290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7D0E34-C49D-429A-93F1-91EB0E0D46C6}"/>
            </a:ext>
          </a:extLst>
        </xdr:cNvPr>
        <xdr:cNvSpPr/>
      </xdr:nvSpPr>
      <xdr:spPr>
        <a:xfrm>
          <a:off x="422910" y="3737610"/>
          <a:ext cx="1844040" cy="533400"/>
        </a:xfrm>
        <a:prstGeom prst="roundRect">
          <a:avLst>
            <a:gd name="adj" fmla="val 50000"/>
          </a:avLst>
        </a:prstGeom>
        <a:solidFill>
          <a:srgbClr val="D9480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422910</xdr:colOff>
      <xdr:row>22</xdr:row>
      <xdr:rowOff>53340</xdr:rowOff>
    </xdr:from>
    <xdr:to>
      <xdr:col>0</xdr:col>
      <xdr:colOff>2266950</xdr:colOff>
      <xdr:row>24</xdr:row>
      <xdr:rowOff>190500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4B9641-4D1A-4434-B26F-9B617190252C}"/>
            </a:ext>
          </a:extLst>
        </xdr:cNvPr>
        <xdr:cNvSpPr/>
      </xdr:nvSpPr>
      <xdr:spPr>
        <a:xfrm>
          <a:off x="422910" y="4488180"/>
          <a:ext cx="184404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 editAs="absolute">
    <xdr:from>
      <xdr:col>3</xdr:col>
      <xdr:colOff>631613</xdr:colOff>
      <xdr:row>23</xdr:row>
      <xdr:rowOff>84573</xdr:rowOff>
    </xdr:from>
    <xdr:to>
      <xdr:col>4</xdr:col>
      <xdr:colOff>16933</xdr:colOff>
      <xdr:row>25</xdr:row>
      <xdr:rowOff>65713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73D91D-5755-46AD-A7A0-025AD4609478}"/>
            </a:ext>
          </a:extLst>
        </xdr:cNvPr>
        <xdr:cNvSpPr/>
      </xdr:nvSpPr>
      <xdr:spPr>
        <a:xfrm>
          <a:off x="7277946" y="4639640"/>
          <a:ext cx="2568787" cy="370606"/>
        </a:xfrm>
        <a:prstGeom prst="rect">
          <a:avLst/>
        </a:prstGeom>
        <a:solidFill>
          <a:srgbClr val="D9480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PROXIMO</a:t>
          </a:r>
          <a:r>
            <a:rPr lang="pt-BR" sz="1100" baseline="0"/>
            <a:t> -&gt;</a:t>
          </a:r>
        </a:p>
      </xdr:txBody>
    </xdr:sp>
    <xdr:clientData/>
  </xdr:twoCellAnchor>
  <xdr:twoCellAnchor editAs="absolute">
    <xdr:from>
      <xdr:col>2</xdr:col>
      <xdr:colOff>20093</xdr:colOff>
      <xdr:row>23</xdr:row>
      <xdr:rowOff>84573</xdr:rowOff>
    </xdr:from>
    <xdr:to>
      <xdr:col>2</xdr:col>
      <xdr:colOff>2535194</xdr:colOff>
      <xdr:row>25</xdr:row>
      <xdr:rowOff>65713</xdr:rowOff>
    </xdr:to>
    <xdr:sp macro="" textlink="">
      <xdr:nvSpPr>
        <xdr:cNvPr id="10" name="Retângul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3CF6A3F-BBE6-445D-87FD-8C94B3067C4B}"/>
            </a:ext>
          </a:extLst>
        </xdr:cNvPr>
        <xdr:cNvSpPr/>
      </xdr:nvSpPr>
      <xdr:spPr>
        <a:xfrm>
          <a:off x="3482960" y="4639640"/>
          <a:ext cx="2515101" cy="370606"/>
        </a:xfrm>
        <a:prstGeom prst="rect">
          <a:avLst/>
        </a:prstGeom>
        <a:solidFill>
          <a:srgbClr val="D9480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>
    <xdr:from>
      <xdr:col>4</xdr:col>
      <xdr:colOff>1</xdr:colOff>
      <xdr:row>7</xdr:row>
      <xdr:rowOff>8467</xdr:rowOff>
    </xdr:from>
    <xdr:to>
      <xdr:col>10</xdr:col>
      <xdr:colOff>414868</xdr:colOff>
      <xdr:row>22</xdr:row>
      <xdr:rowOff>177799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E9FED7C-E1C7-4774-A070-6F9AA44C4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37361</xdr:rowOff>
    </xdr:from>
    <xdr:to>
      <xdr:col>0</xdr:col>
      <xdr:colOff>2689860</xdr:colOff>
      <xdr:row>14</xdr:row>
      <xdr:rowOff>99798</xdr:rowOff>
    </xdr:to>
    <xdr:pic>
      <xdr:nvPicPr>
        <xdr:cNvPr id="2" name="Imagem 1" descr="Bold Lion Head Logo – Logo Icons">
          <a:extLst>
            <a:ext uri="{FF2B5EF4-FFF2-40B4-BE49-F238E27FC236}">
              <a16:creationId xmlns:a16="http://schemas.microsoft.com/office/drawing/2014/main" id="{9D210DD7-AD45-4CD5-8C20-233ADAB62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601"/>
          <a:ext cx="2689860" cy="2516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146685</xdr:colOff>
      <xdr:row>0</xdr:row>
      <xdr:rowOff>38099</xdr:rowOff>
    </xdr:from>
    <xdr:to>
      <xdr:col>0</xdr:col>
      <xdr:colOff>2543175</xdr:colOff>
      <xdr:row>2</xdr:row>
      <xdr:rowOff>83819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455DAA3-E6C5-4702-8958-793D30265305}"/>
            </a:ext>
          </a:extLst>
        </xdr:cNvPr>
        <xdr:cNvSpPr/>
      </xdr:nvSpPr>
      <xdr:spPr>
        <a:xfrm>
          <a:off x="146685" y="38099"/>
          <a:ext cx="2396490" cy="4419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D9480F"/>
              </a:solidFill>
              <a:latin typeface="Algerian" panose="04020705040A02060702" pitchFamily="82" charset="0"/>
            </a:rPr>
            <a:t>RECEITA</a:t>
          </a:r>
          <a:r>
            <a:rPr lang="pt-BR" sz="2000" b="1" baseline="0">
              <a:solidFill>
                <a:srgbClr val="D9480F"/>
              </a:solidFill>
              <a:latin typeface="Algerian" panose="04020705040A02060702" pitchFamily="82" charset="0"/>
            </a:rPr>
            <a:t>  FÁCIL</a:t>
          </a:r>
        </a:p>
      </xdr:txBody>
    </xdr:sp>
    <xdr:clientData/>
  </xdr:twoCellAnchor>
  <xdr:twoCellAnchor editAs="absolute">
    <xdr:from>
      <xdr:col>0</xdr:col>
      <xdr:colOff>422910</xdr:colOff>
      <xdr:row>14</xdr:row>
      <xdr:rowOff>137160</xdr:rowOff>
    </xdr:from>
    <xdr:to>
      <xdr:col>0</xdr:col>
      <xdr:colOff>2266950</xdr:colOff>
      <xdr:row>17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B70313-2468-4BB9-A8C9-FD6CAA0761B2}"/>
            </a:ext>
          </a:extLst>
        </xdr:cNvPr>
        <xdr:cNvSpPr/>
      </xdr:nvSpPr>
      <xdr:spPr>
        <a:xfrm>
          <a:off x="422910" y="2987040"/>
          <a:ext cx="184404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422910</xdr:colOff>
      <xdr:row>18</xdr:row>
      <xdr:rowOff>95250</xdr:rowOff>
    </xdr:from>
    <xdr:to>
      <xdr:col>0</xdr:col>
      <xdr:colOff>2266950</xdr:colOff>
      <xdr:row>21</xdr:row>
      <xdr:rowOff>34290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FEDBC5-D71C-4CF5-9C3A-97EB711071BA}"/>
            </a:ext>
          </a:extLst>
        </xdr:cNvPr>
        <xdr:cNvSpPr/>
      </xdr:nvSpPr>
      <xdr:spPr>
        <a:xfrm>
          <a:off x="422910" y="3737610"/>
          <a:ext cx="1844040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422910</xdr:colOff>
      <xdr:row>22</xdr:row>
      <xdr:rowOff>53340</xdr:rowOff>
    </xdr:from>
    <xdr:to>
      <xdr:col>0</xdr:col>
      <xdr:colOff>2266950</xdr:colOff>
      <xdr:row>24</xdr:row>
      <xdr:rowOff>190500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3E1007-0E36-4CDC-8151-C581238F8F63}"/>
            </a:ext>
          </a:extLst>
        </xdr:cNvPr>
        <xdr:cNvSpPr/>
      </xdr:nvSpPr>
      <xdr:spPr>
        <a:xfrm>
          <a:off x="422910" y="4488180"/>
          <a:ext cx="1844040" cy="533400"/>
        </a:xfrm>
        <a:prstGeom prst="roundRect">
          <a:avLst>
            <a:gd name="adj" fmla="val 50000"/>
          </a:avLst>
        </a:prstGeom>
        <a:solidFill>
          <a:srgbClr val="D9480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 editAs="absolute">
    <xdr:from>
      <xdr:col>2</xdr:col>
      <xdr:colOff>1</xdr:colOff>
      <xdr:row>22</xdr:row>
      <xdr:rowOff>177800</xdr:rowOff>
    </xdr:from>
    <xdr:to>
      <xdr:col>2</xdr:col>
      <xdr:colOff>1964267</xdr:colOff>
      <xdr:row>24</xdr:row>
      <xdr:rowOff>165712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21D7D4-0B06-4601-968C-8E6350F0BCC8}"/>
            </a:ext>
          </a:extLst>
        </xdr:cNvPr>
        <xdr:cNvSpPr/>
      </xdr:nvSpPr>
      <xdr:spPr>
        <a:xfrm>
          <a:off x="3462868" y="4538133"/>
          <a:ext cx="1964266" cy="377379"/>
        </a:xfrm>
        <a:prstGeom prst="rect">
          <a:avLst/>
        </a:prstGeom>
        <a:solidFill>
          <a:srgbClr val="D9480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B02FE6-1BB9-4233-BB57-988EC7D1DE24}" name="Tabela2" displayName="Tabela2" ref="C8:E22" totalsRowShown="0">
  <autoFilter ref="C8:E22" xr:uid="{4BB02FE6-1BB9-4233-BB57-988EC7D1DE24}"/>
  <tableColumns count="3">
    <tableColumn id="1" xr3:uid="{990E298D-2302-473F-A07D-869C6F67A928}" name="DATA" dataDxfId="1"/>
    <tableColumn id="2" xr3:uid="{9133F624-FF8A-428C-9AE5-CE26DD5526D6}" name="CATEGORIA"/>
    <tableColumn id="3" xr3:uid="{F529BE3E-7DC8-44D4-B1AB-B065269BC0C9}" name="VALOR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80CB-6318-4E20-956C-5D7FBDCC7D3C}">
  <dimension ref="A1:H72"/>
  <sheetViews>
    <sheetView showGridLines="0" zoomScale="101" workbookViewId="0"/>
  </sheetViews>
  <sheetFormatPr defaultRowHeight="14.4" x14ac:dyDescent="0.3"/>
  <cols>
    <col min="1" max="1" width="39.77734375" style="4" customWidth="1"/>
    <col min="2" max="2" width="10.77734375" customWidth="1"/>
    <col min="3" max="4" width="52.77734375" style="3" customWidth="1"/>
    <col min="5" max="8" width="8.88671875" style="3"/>
  </cols>
  <sheetData>
    <row r="1" spans="3:5" ht="16.05" customHeight="1" x14ac:dyDescent="0.3"/>
    <row r="2" spans="3:5" ht="16.05" customHeight="1" x14ac:dyDescent="0.3"/>
    <row r="3" spans="3:5" ht="16.05" customHeight="1" x14ac:dyDescent="0.3"/>
    <row r="4" spans="3:5" ht="16.05" customHeight="1" thickBot="1" x14ac:dyDescent="0.4">
      <c r="C4" s="2" t="s">
        <v>14</v>
      </c>
      <c r="D4" s="2"/>
      <c r="E4" s="2"/>
    </row>
    <row r="5" spans="3:5" ht="22.05" customHeight="1" thickTop="1" x14ac:dyDescent="0.3">
      <c r="C5" s="22" t="s">
        <v>15</v>
      </c>
      <c r="D5" s="22"/>
      <c r="E5" s="22"/>
    </row>
    <row r="6" spans="3:5" ht="16.05" customHeight="1" x14ac:dyDescent="0.3"/>
    <row r="7" spans="3:5" ht="16.05" customHeight="1" x14ac:dyDescent="0.3">
      <c r="C7" s="5" t="s">
        <v>0</v>
      </c>
      <c r="D7" s="6" t="s">
        <v>19</v>
      </c>
    </row>
    <row r="8" spans="3:5" ht="16.05" customHeight="1" x14ac:dyDescent="0.3">
      <c r="C8" s="5" t="s">
        <v>1</v>
      </c>
      <c r="D8" s="7">
        <v>4684646846</v>
      </c>
    </row>
    <row r="9" spans="3:5" ht="16.05" customHeight="1" x14ac:dyDescent="0.3">
      <c r="C9" s="5" t="s">
        <v>2</v>
      </c>
      <c r="D9" s="8">
        <v>1025555</v>
      </c>
    </row>
    <row r="10" spans="3:5" ht="16.05" customHeight="1" x14ac:dyDescent="0.3">
      <c r="C10" s="5" t="s">
        <v>3</v>
      </c>
      <c r="D10" s="6">
        <v>251684516</v>
      </c>
    </row>
    <row r="11" spans="3:5" ht="16.05" customHeight="1" x14ac:dyDescent="0.3">
      <c r="C11" s="5" t="s">
        <v>4</v>
      </c>
      <c r="D11" s="6" t="s">
        <v>75</v>
      </c>
    </row>
    <row r="12" spans="3:5" ht="16.05" customHeight="1" x14ac:dyDescent="0.3">
      <c r="C12" s="5" t="s">
        <v>5</v>
      </c>
      <c r="D12" s="6" t="s">
        <v>17</v>
      </c>
    </row>
    <row r="13" spans="3:5" ht="16.05" customHeight="1" x14ac:dyDescent="0.3">
      <c r="C13" s="5" t="s">
        <v>6</v>
      </c>
      <c r="D13" s="6" t="s">
        <v>18</v>
      </c>
    </row>
    <row r="14" spans="3:5" ht="16.05" customHeight="1" x14ac:dyDescent="0.3">
      <c r="C14" s="5" t="s">
        <v>7</v>
      </c>
      <c r="D14" s="9">
        <v>15651688151</v>
      </c>
    </row>
    <row r="15" spans="3:5" ht="16.05" customHeight="1" x14ac:dyDescent="0.3">
      <c r="C15" s="5" t="s">
        <v>8</v>
      </c>
      <c r="D15" s="11">
        <v>7335311515</v>
      </c>
    </row>
    <row r="16" spans="3:5" ht="16.05" customHeight="1" x14ac:dyDescent="0.3">
      <c r="C16" s="5" t="s">
        <v>9</v>
      </c>
      <c r="D16" s="10">
        <v>73955555551</v>
      </c>
    </row>
    <row r="17" spans="3:4" ht="16.05" customHeight="1" x14ac:dyDescent="0.3">
      <c r="C17" s="5" t="s">
        <v>10</v>
      </c>
      <c r="D17" s="6" t="s">
        <v>16</v>
      </c>
    </row>
    <row r="18" spans="3:4" ht="16.05" customHeight="1" x14ac:dyDescent="0.3">
      <c r="C18" s="5" t="s">
        <v>11</v>
      </c>
      <c r="D18" s="6" t="s">
        <v>20</v>
      </c>
    </row>
    <row r="19" spans="3:4" ht="16.05" customHeight="1" x14ac:dyDescent="0.3">
      <c r="C19" s="5" t="s">
        <v>12</v>
      </c>
      <c r="D19" s="6" t="s">
        <v>20</v>
      </c>
    </row>
    <row r="20" spans="3:4" ht="16.05" customHeight="1" x14ac:dyDescent="0.3">
      <c r="C20" s="5" t="s">
        <v>13</v>
      </c>
      <c r="D20" s="6" t="s">
        <v>20</v>
      </c>
    </row>
    <row r="21" spans="3:4" ht="16.05" customHeight="1" x14ac:dyDescent="0.3"/>
    <row r="22" spans="3:4" ht="16.05" customHeight="1" x14ac:dyDescent="0.3"/>
    <row r="23" spans="3:4" ht="16.05" customHeight="1" x14ac:dyDescent="0.3"/>
    <row r="24" spans="3:4" ht="16.05" customHeight="1" x14ac:dyDescent="0.3"/>
    <row r="25" spans="3:4" ht="16.05" customHeight="1" x14ac:dyDescent="0.3"/>
    <row r="26" spans="3:4" ht="16.05" customHeight="1" x14ac:dyDescent="0.3"/>
    <row r="27" spans="3:4" ht="16.05" customHeight="1" x14ac:dyDescent="0.3"/>
    <row r="28" spans="3:4" ht="16.05" customHeight="1" x14ac:dyDescent="0.3"/>
    <row r="29" spans="3:4" ht="16.05" customHeight="1" x14ac:dyDescent="0.3"/>
    <row r="30" spans="3:4" ht="16.05" customHeight="1" x14ac:dyDescent="0.3"/>
    <row r="31" spans="3:4" ht="16.05" customHeight="1" x14ac:dyDescent="0.3"/>
    <row r="32" spans="3:4" ht="16.05" customHeight="1" x14ac:dyDescent="0.3"/>
    <row r="33" ht="16.05" customHeight="1" x14ac:dyDescent="0.3"/>
    <row r="34" ht="16.05" customHeight="1" x14ac:dyDescent="0.3"/>
    <row r="35" ht="16.05" customHeight="1" x14ac:dyDescent="0.3"/>
    <row r="36" ht="16.05" customHeight="1" x14ac:dyDescent="0.3"/>
    <row r="37" ht="16.05" customHeight="1" x14ac:dyDescent="0.3"/>
    <row r="38" ht="16.05" customHeight="1" x14ac:dyDescent="0.3"/>
    <row r="39" ht="16.05" customHeight="1" x14ac:dyDescent="0.3"/>
    <row r="40" ht="16.05" customHeight="1" x14ac:dyDescent="0.3"/>
    <row r="41" ht="16.05" customHeight="1" x14ac:dyDescent="0.3"/>
    <row r="42" ht="16.05" customHeight="1" x14ac:dyDescent="0.3"/>
    <row r="43" ht="16.05" customHeight="1" x14ac:dyDescent="0.3"/>
    <row r="44" ht="16.05" customHeight="1" x14ac:dyDescent="0.3"/>
    <row r="45" ht="16.05" customHeight="1" x14ac:dyDescent="0.3"/>
    <row r="46" ht="16.05" customHeight="1" x14ac:dyDescent="0.3"/>
    <row r="47" ht="16.05" customHeight="1" x14ac:dyDescent="0.3"/>
    <row r="48" ht="16.05" customHeight="1" x14ac:dyDescent="0.3"/>
    <row r="49" ht="16.05" customHeight="1" x14ac:dyDescent="0.3"/>
    <row r="50" ht="16.05" customHeight="1" x14ac:dyDescent="0.3"/>
    <row r="51" ht="16.05" customHeight="1" x14ac:dyDescent="0.3"/>
    <row r="52" ht="16.05" customHeight="1" x14ac:dyDescent="0.3"/>
    <row r="53" ht="16.05" customHeight="1" x14ac:dyDescent="0.3"/>
    <row r="54" ht="16.05" customHeight="1" x14ac:dyDescent="0.3"/>
    <row r="55" ht="16.05" customHeight="1" x14ac:dyDescent="0.3"/>
    <row r="56" ht="16.05" customHeight="1" x14ac:dyDescent="0.3"/>
    <row r="57" ht="16.05" customHeight="1" x14ac:dyDescent="0.3"/>
    <row r="58" ht="16.05" customHeight="1" x14ac:dyDescent="0.3"/>
    <row r="59" ht="16.05" customHeight="1" x14ac:dyDescent="0.3"/>
    <row r="60" ht="16.05" customHeight="1" x14ac:dyDescent="0.3"/>
    <row r="61" ht="16.05" customHeight="1" x14ac:dyDescent="0.3"/>
    <row r="62" ht="16.05" customHeight="1" x14ac:dyDescent="0.3"/>
    <row r="63" ht="16.05" customHeight="1" x14ac:dyDescent="0.3"/>
    <row r="64" ht="16.05" customHeight="1" x14ac:dyDescent="0.3"/>
    <row r="65" ht="16.05" customHeight="1" x14ac:dyDescent="0.3"/>
    <row r="66" ht="16.05" customHeight="1" x14ac:dyDescent="0.3"/>
    <row r="67" ht="16.05" customHeight="1" x14ac:dyDescent="0.3"/>
    <row r="68" ht="16.05" customHeight="1" x14ac:dyDescent="0.3"/>
    <row r="69" ht="16.05" customHeight="1" x14ac:dyDescent="0.3"/>
    <row r="70" ht="16.05" customHeight="1" x14ac:dyDescent="0.3"/>
    <row r="71" ht="16.05" customHeight="1" x14ac:dyDescent="0.3"/>
    <row r="72" ht="16.05" customHeight="1" x14ac:dyDescent="0.3"/>
  </sheetData>
  <mergeCells count="1">
    <mergeCell ref="C5:E5"/>
  </mergeCells>
  <dataValidations count="1">
    <dataValidation type="list" allowBlank="1" showInputMessage="1" showErrorMessage="1" sqref="D18:D20" xr:uid="{31C6A264-381F-46CD-AE5A-8C633A821984}">
      <formula1>"SIM,NÃO"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E000-3C4B-44C0-9A9E-15BAEF83D78A}">
  <dimension ref="A1:D62"/>
  <sheetViews>
    <sheetView showGridLines="0" zoomScale="90" workbookViewId="0">
      <selection activeCell="D29" sqref="D29"/>
    </sheetView>
  </sheetViews>
  <sheetFormatPr defaultRowHeight="14.4" x14ac:dyDescent="0.3"/>
  <cols>
    <col min="1" max="1" width="39.77734375" style="1" customWidth="1"/>
    <col min="2" max="2" width="10.77734375" customWidth="1"/>
    <col min="3" max="4" width="46.44140625" customWidth="1"/>
    <col min="6" max="6" width="26.33203125" bestFit="1" customWidth="1"/>
    <col min="7" max="7" width="14.6640625" bestFit="1" customWidth="1"/>
  </cols>
  <sheetData>
    <row r="1" spans="3:4" ht="16.05" customHeight="1" x14ac:dyDescent="0.3"/>
    <row r="2" spans="3:4" ht="16.05" customHeight="1" x14ac:dyDescent="0.3"/>
    <row r="3" spans="3:4" ht="16.05" customHeight="1" x14ac:dyDescent="0.3"/>
    <row r="4" spans="3:4" ht="16.05" customHeight="1" thickBot="1" x14ac:dyDescent="0.4">
      <c r="C4" s="2" t="s">
        <v>81</v>
      </c>
      <c r="D4" s="2"/>
    </row>
    <row r="5" spans="3:4" ht="22.05" customHeight="1" thickTop="1" x14ac:dyDescent="0.3">
      <c r="C5" s="22" t="s">
        <v>15</v>
      </c>
      <c r="D5" s="22"/>
    </row>
    <row r="6" spans="3:4" ht="16.05" customHeight="1" x14ac:dyDescent="0.3">
      <c r="C6" s="3"/>
      <c r="D6" s="3"/>
    </row>
    <row r="7" spans="3:4" ht="16.05" customHeight="1" x14ac:dyDescent="0.3">
      <c r="C7" s="3"/>
      <c r="D7" s="3"/>
    </row>
    <row r="8" spans="3:4" ht="16.05" customHeight="1" x14ac:dyDescent="0.3">
      <c r="C8" s="15" t="s">
        <v>79</v>
      </c>
      <c r="D8" s="16">
        <f>SUM(D12,D17,D22)</f>
        <v>170000000</v>
      </c>
    </row>
    <row r="9" spans="3:4" ht="16.05" customHeight="1" x14ac:dyDescent="0.3"/>
    <row r="10" spans="3:4" ht="16.05" customHeight="1" x14ac:dyDescent="0.3">
      <c r="C10" s="3" t="s">
        <v>76</v>
      </c>
      <c r="D10" s="3"/>
    </row>
    <row r="11" spans="3:4" ht="16.05" customHeight="1" x14ac:dyDescent="0.3">
      <c r="C11" s="5" t="s">
        <v>21</v>
      </c>
      <c r="D11" s="6" t="s">
        <v>33</v>
      </c>
    </row>
    <row r="12" spans="3:4" ht="16.05" customHeight="1" x14ac:dyDescent="0.3">
      <c r="C12" s="5" t="s">
        <v>22</v>
      </c>
      <c r="D12" s="12">
        <v>80000000</v>
      </c>
    </row>
    <row r="13" spans="3:4" ht="16.05" customHeight="1" x14ac:dyDescent="0.3">
      <c r="C13" s="5" t="s">
        <v>23</v>
      </c>
      <c r="D13" s="8"/>
    </row>
    <row r="14" spans="3:4" ht="16.05" customHeight="1" x14ac:dyDescent="0.3"/>
    <row r="15" spans="3:4" ht="16.05" customHeight="1" x14ac:dyDescent="0.3">
      <c r="C15" s="14" t="s">
        <v>77</v>
      </c>
    </row>
    <row r="16" spans="3:4" ht="16.05" customHeight="1" x14ac:dyDescent="0.3">
      <c r="C16" s="5" t="s">
        <v>21</v>
      </c>
      <c r="D16" s="6" t="s">
        <v>31</v>
      </c>
    </row>
    <row r="17" spans="3:4" ht="16.05" customHeight="1" x14ac:dyDescent="0.3">
      <c r="C17" s="5" t="s">
        <v>22</v>
      </c>
      <c r="D17" s="12">
        <v>50000000</v>
      </c>
    </row>
    <row r="18" spans="3:4" ht="16.05" customHeight="1" x14ac:dyDescent="0.3">
      <c r="C18" s="5" t="s">
        <v>23</v>
      </c>
      <c r="D18" s="8"/>
    </row>
    <row r="19" spans="3:4" ht="16.05" customHeight="1" x14ac:dyDescent="0.3"/>
    <row r="20" spans="3:4" ht="16.05" customHeight="1" x14ac:dyDescent="0.3">
      <c r="C20" s="14" t="s">
        <v>78</v>
      </c>
    </row>
    <row r="21" spans="3:4" ht="16.05" customHeight="1" x14ac:dyDescent="0.3">
      <c r="C21" s="5" t="s">
        <v>21</v>
      </c>
      <c r="D21" s="6" t="s">
        <v>32</v>
      </c>
    </row>
    <row r="22" spans="3:4" ht="16.05" customHeight="1" x14ac:dyDescent="0.3">
      <c r="C22" s="5" t="s">
        <v>22</v>
      </c>
      <c r="D22" s="12">
        <v>40000000</v>
      </c>
    </row>
    <row r="23" spans="3:4" ht="16.05" customHeight="1" x14ac:dyDescent="0.3">
      <c r="C23" s="5" t="s">
        <v>23</v>
      </c>
      <c r="D23" s="8"/>
    </row>
    <row r="24" spans="3:4" ht="16.05" customHeight="1" x14ac:dyDescent="0.3"/>
    <row r="25" spans="3:4" ht="16.05" customHeight="1" x14ac:dyDescent="0.3"/>
    <row r="26" spans="3:4" ht="16.05" customHeight="1" x14ac:dyDescent="0.3"/>
    <row r="27" spans="3:4" ht="16.05" customHeight="1" x14ac:dyDescent="0.3"/>
    <row r="28" spans="3:4" ht="16.05" customHeight="1" x14ac:dyDescent="0.3"/>
    <row r="29" spans="3:4" ht="16.05" customHeight="1" x14ac:dyDescent="0.3"/>
    <row r="30" spans="3:4" ht="16.05" customHeight="1" x14ac:dyDescent="0.3">
      <c r="C30" s="3"/>
      <c r="D30" s="3"/>
    </row>
    <row r="31" spans="3:4" ht="16.05" customHeight="1" x14ac:dyDescent="0.3">
      <c r="C31" s="3"/>
      <c r="D31" s="3"/>
    </row>
    <row r="32" spans="3:4" ht="16.05" customHeight="1" x14ac:dyDescent="0.3">
      <c r="C32" s="3"/>
      <c r="D32" s="3"/>
    </row>
    <row r="33" ht="16.05" customHeight="1" x14ac:dyDescent="0.3"/>
    <row r="34" ht="16.05" customHeight="1" x14ac:dyDescent="0.3"/>
    <row r="35" ht="16.05" customHeight="1" x14ac:dyDescent="0.3"/>
    <row r="36" ht="16.05" customHeight="1" x14ac:dyDescent="0.3"/>
    <row r="37" ht="16.05" customHeight="1" x14ac:dyDescent="0.3"/>
    <row r="38" ht="16.05" customHeight="1" x14ac:dyDescent="0.3"/>
    <row r="39" ht="16.05" customHeight="1" x14ac:dyDescent="0.3"/>
    <row r="40" ht="16.05" customHeight="1" x14ac:dyDescent="0.3"/>
    <row r="41" ht="16.05" customHeight="1" x14ac:dyDescent="0.3"/>
    <row r="42" ht="16.05" customHeight="1" x14ac:dyDescent="0.3"/>
    <row r="43" ht="16.05" customHeight="1" x14ac:dyDescent="0.3"/>
    <row r="44" ht="16.05" customHeight="1" x14ac:dyDescent="0.3"/>
    <row r="45" ht="16.05" customHeight="1" x14ac:dyDescent="0.3"/>
    <row r="46" ht="16.05" customHeight="1" x14ac:dyDescent="0.3"/>
    <row r="47" ht="16.05" customHeight="1" x14ac:dyDescent="0.3"/>
    <row r="48" ht="16.05" customHeight="1" x14ac:dyDescent="0.3"/>
    <row r="49" ht="16.05" customHeight="1" x14ac:dyDescent="0.3"/>
    <row r="50" ht="16.05" customHeight="1" x14ac:dyDescent="0.3"/>
    <row r="51" ht="16.05" customHeight="1" x14ac:dyDescent="0.3"/>
    <row r="52" ht="16.05" customHeight="1" x14ac:dyDescent="0.3"/>
    <row r="53" ht="16.05" customHeight="1" x14ac:dyDescent="0.3"/>
    <row r="54" ht="16.05" customHeight="1" x14ac:dyDescent="0.3"/>
    <row r="55" ht="16.05" customHeight="1" x14ac:dyDescent="0.3"/>
    <row r="56" ht="16.05" customHeight="1" x14ac:dyDescent="0.3"/>
    <row r="57" ht="16.05" customHeight="1" x14ac:dyDescent="0.3"/>
    <row r="58" ht="16.05" customHeight="1" x14ac:dyDescent="0.3"/>
    <row r="59" ht="16.05" customHeight="1" x14ac:dyDescent="0.3"/>
    <row r="60" ht="16.05" customHeight="1" x14ac:dyDescent="0.3"/>
    <row r="61" ht="16.05" customHeight="1" x14ac:dyDescent="0.3"/>
    <row r="62" ht="16.05" customHeight="1" x14ac:dyDescent="0.3"/>
  </sheetData>
  <mergeCells count="1">
    <mergeCell ref="C5:D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FORME UM BANCO DA LISTA" promptTitle="INFORME UM BANCO" prompt="INFORME UM BANCO VINCULADO AO SEU CPF" xr:uid="{A21438EE-CAD6-4CCD-8635-902AABD6768D}">
          <x14:formula1>
            <xm:f>Planilha1!$A$3:$A$52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3A4B-77EB-4A16-A42E-B677CB1579EE}">
  <dimension ref="A1:XFD77"/>
  <sheetViews>
    <sheetView showGridLines="0" tabSelected="1" zoomScale="90" zoomScaleNormal="70" workbookViewId="0">
      <selection activeCell="G6" sqref="G6"/>
    </sheetView>
  </sheetViews>
  <sheetFormatPr defaultColWidth="64.109375" defaultRowHeight="14.4" x14ac:dyDescent="0.3"/>
  <cols>
    <col min="1" max="1" width="39.77734375" style="1" customWidth="1"/>
    <col min="2" max="2" width="10.77734375" customWidth="1"/>
    <col min="3" max="5" width="30.77734375" customWidth="1"/>
    <col min="6" max="7" width="8.88671875" customWidth="1"/>
  </cols>
  <sheetData>
    <row r="1" spans="3:5" ht="16.05" customHeight="1" x14ac:dyDescent="0.3"/>
    <row r="2" spans="3:5" ht="16.05" customHeight="1" x14ac:dyDescent="0.3"/>
    <row r="3" spans="3:5" ht="16.05" customHeight="1" x14ac:dyDescent="0.3"/>
    <row r="4" spans="3:5" ht="16.05" customHeight="1" thickBot="1" x14ac:dyDescent="0.4">
      <c r="C4" s="2" t="s">
        <v>80</v>
      </c>
      <c r="D4" s="2"/>
      <c r="E4" s="2"/>
    </row>
    <row r="5" spans="3:5" ht="22.05" customHeight="1" thickTop="1" x14ac:dyDescent="0.3">
      <c r="C5" s="22" t="s">
        <v>15</v>
      </c>
      <c r="D5" s="22"/>
      <c r="E5" s="22"/>
    </row>
    <row r="6" spans="3:5" ht="16.05" customHeight="1" x14ac:dyDescent="0.3">
      <c r="C6" s="3"/>
      <c r="D6" s="3"/>
      <c r="E6" s="3"/>
    </row>
    <row r="7" spans="3:5" ht="16.05" customHeight="1" x14ac:dyDescent="0.3">
      <c r="C7" s="23" t="s">
        <v>82</v>
      </c>
      <c r="D7" s="23"/>
      <c r="E7" s="23"/>
    </row>
    <row r="8" spans="3:5" ht="16.05" customHeight="1" x14ac:dyDescent="0.3">
      <c r="C8" s="17" t="s">
        <v>83</v>
      </c>
      <c r="D8" s="17" t="s">
        <v>84</v>
      </c>
      <c r="E8" s="18" t="s">
        <v>85</v>
      </c>
    </row>
    <row r="9" spans="3:5" ht="16.05" customHeight="1" x14ac:dyDescent="0.3">
      <c r="C9" s="19">
        <v>1052026</v>
      </c>
      <c r="D9" t="s">
        <v>86</v>
      </c>
      <c r="E9" s="21">
        <v>5000</v>
      </c>
    </row>
    <row r="10" spans="3:5" ht="16.05" customHeight="1" x14ac:dyDescent="0.3">
      <c r="C10" s="19"/>
      <c r="E10" s="21"/>
    </row>
    <row r="11" spans="3:5" ht="16.05" customHeight="1" x14ac:dyDescent="0.3">
      <c r="C11" s="19"/>
      <c r="E11" s="21"/>
    </row>
    <row r="12" spans="3:5" ht="16.05" customHeight="1" x14ac:dyDescent="0.3">
      <c r="C12" s="19"/>
      <c r="E12" s="21"/>
    </row>
    <row r="13" spans="3:5" ht="16.05" customHeight="1" x14ac:dyDescent="0.3">
      <c r="C13" s="19"/>
      <c r="E13" s="21"/>
    </row>
    <row r="14" spans="3:5" ht="16.05" customHeight="1" x14ac:dyDescent="0.3">
      <c r="C14" s="19"/>
      <c r="E14" s="21"/>
    </row>
    <row r="15" spans="3:5" ht="16.05" customHeight="1" x14ac:dyDescent="0.3">
      <c r="C15" s="19"/>
      <c r="E15" s="21"/>
    </row>
    <row r="16" spans="3:5" ht="16.05" customHeight="1" x14ac:dyDescent="0.3">
      <c r="C16" s="19"/>
      <c r="E16" s="21"/>
    </row>
    <row r="17" spans="3:5" ht="16.05" customHeight="1" x14ac:dyDescent="0.3">
      <c r="C17" s="19"/>
      <c r="E17" s="21"/>
    </row>
    <row r="18" spans="3:5" ht="16.05" customHeight="1" x14ac:dyDescent="0.3">
      <c r="C18" s="19"/>
      <c r="E18" s="21"/>
    </row>
    <row r="19" spans="3:5" ht="16.05" customHeight="1" x14ac:dyDescent="0.3">
      <c r="C19" s="19"/>
      <c r="E19" s="21"/>
    </row>
    <row r="20" spans="3:5" ht="16.05" customHeight="1" x14ac:dyDescent="0.3">
      <c r="C20" s="19"/>
      <c r="E20" s="21"/>
    </row>
    <row r="21" spans="3:5" ht="16.05" customHeight="1" x14ac:dyDescent="0.3">
      <c r="C21" s="20"/>
      <c r="D21" s="3"/>
      <c r="E21" s="21"/>
    </row>
    <row r="22" spans="3:5" ht="16.05" customHeight="1" x14ac:dyDescent="0.3">
      <c r="C22" s="20"/>
      <c r="D22" s="3"/>
      <c r="E22" s="21"/>
    </row>
    <row r="23" spans="3:5" ht="16.05" customHeight="1" x14ac:dyDescent="0.3">
      <c r="C23" s="3"/>
      <c r="D23" s="3"/>
      <c r="E23" s="3"/>
    </row>
    <row r="24" spans="3:5" ht="16.05" customHeight="1" x14ac:dyDescent="0.3"/>
    <row r="25" spans="3:5" ht="16.05" customHeight="1" x14ac:dyDescent="0.3"/>
    <row r="26" spans="3:5" ht="16.05" customHeight="1" x14ac:dyDescent="0.3"/>
    <row r="27" spans="3:5" ht="16.05" customHeight="1" x14ac:dyDescent="0.3"/>
    <row r="28" spans="3:5" ht="16.05" customHeight="1" x14ac:dyDescent="0.3"/>
    <row r="29" spans="3:5" ht="16.05" customHeight="1" x14ac:dyDescent="0.3"/>
    <row r="30" spans="3:5" ht="16.05" customHeight="1" x14ac:dyDescent="0.3"/>
    <row r="31" spans="3:5" ht="16.05" customHeight="1" x14ac:dyDescent="0.3"/>
    <row r="32" spans="3:5" ht="16.05" customHeight="1" x14ac:dyDescent="0.3"/>
    <row r="33" ht="16.05" customHeight="1" x14ac:dyDescent="0.3"/>
    <row r="34" ht="16.05" customHeight="1" x14ac:dyDescent="0.3"/>
    <row r="35" ht="16.05" customHeight="1" x14ac:dyDescent="0.3"/>
    <row r="36" ht="16.05" customHeight="1" x14ac:dyDescent="0.3"/>
    <row r="37" ht="16.05" customHeight="1" x14ac:dyDescent="0.3"/>
    <row r="38" ht="16.05" customHeight="1" x14ac:dyDescent="0.3"/>
    <row r="39" ht="16.05" customHeight="1" x14ac:dyDescent="0.3"/>
    <row r="40" ht="16.05" customHeight="1" x14ac:dyDescent="0.3"/>
    <row r="41" ht="16.05" customHeight="1" x14ac:dyDescent="0.3"/>
    <row r="42" ht="16.05" customHeight="1" x14ac:dyDescent="0.3"/>
    <row r="43" ht="16.05" customHeight="1" x14ac:dyDescent="0.3"/>
    <row r="44" ht="16.05" customHeight="1" x14ac:dyDescent="0.3"/>
    <row r="45" ht="16.05" customHeight="1" x14ac:dyDescent="0.3"/>
    <row r="46" ht="16.05" customHeight="1" x14ac:dyDescent="0.3"/>
    <row r="47" ht="16.05" customHeight="1" x14ac:dyDescent="0.3"/>
    <row r="48" ht="16.05" customHeight="1" x14ac:dyDescent="0.3"/>
    <row r="49" ht="16.05" customHeight="1" x14ac:dyDescent="0.3"/>
    <row r="50" ht="16.05" customHeight="1" x14ac:dyDescent="0.3"/>
    <row r="51" ht="16.05" customHeight="1" x14ac:dyDescent="0.3"/>
    <row r="52" ht="16.05" customHeight="1" x14ac:dyDescent="0.3"/>
    <row r="53" ht="16.05" customHeight="1" x14ac:dyDescent="0.3"/>
    <row r="54" ht="16.05" customHeight="1" x14ac:dyDescent="0.3"/>
    <row r="55" ht="16.05" customHeight="1" x14ac:dyDescent="0.3"/>
    <row r="56" ht="16.05" customHeight="1" x14ac:dyDescent="0.3"/>
    <row r="57" ht="16.05" customHeight="1" x14ac:dyDescent="0.3"/>
    <row r="58" ht="16.05" customHeight="1" x14ac:dyDescent="0.3"/>
    <row r="59" ht="16.05" customHeight="1" x14ac:dyDescent="0.3"/>
    <row r="60" ht="16.05" customHeight="1" x14ac:dyDescent="0.3"/>
    <row r="61" ht="16.05" customHeight="1" x14ac:dyDescent="0.3"/>
    <row r="62" ht="16.05" customHeight="1" x14ac:dyDescent="0.3"/>
    <row r="63" ht="16.05" customHeight="1" x14ac:dyDescent="0.3"/>
    <row r="64" ht="16.05" customHeight="1" x14ac:dyDescent="0.3"/>
    <row r="65" ht="16.05" customHeight="1" x14ac:dyDescent="0.3"/>
    <row r="66" ht="16.05" customHeight="1" x14ac:dyDescent="0.3"/>
    <row r="67" ht="16.05" customHeight="1" x14ac:dyDescent="0.3"/>
    <row r="68" ht="16.05" customHeight="1" x14ac:dyDescent="0.3"/>
    <row r="69" ht="16.05" customHeight="1" x14ac:dyDescent="0.3"/>
    <row r="70" ht="16.05" customHeight="1" x14ac:dyDescent="0.3"/>
    <row r="71" ht="16.05" customHeight="1" x14ac:dyDescent="0.3"/>
    <row r="72" ht="16.05" customHeight="1" x14ac:dyDescent="0.3"/>
    <row r="73" ht="16.05" customHeight="1" x14ac:dyDescent="0.3"/>
    <row r="74" ht="16.05" customHeight="1" x14ac:dyDescent="0.3"/>
    <row r="75" ht="16.05" customHeight="1" x14ac:dyDescent="0.3"/>
    <row r="76" ht="16.05" customHeight="1" x14ac:dyDescent="0.3"/>
    <row r="77" ht="16.05" customHeight="1" x14ac:dyDescent="0.3"/>
  </sheetData>
  <mergeCells count="2">
    <mergeCell ref="C5:E5"/>
    <mergeCell ref="C7:E7"/>
  </mergeCells>
  <dataValidations count="1">
    <dataValidation type="list" allowBlank="1" showInputMessage="1" showErrorMessage="1" sqref="D9:D22" xr:uid="{0E333853-FF9F-4511-B286-6AB4C0C73B83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531D-D7A0-46CA-8A44-AA1DD86A0606}">
  <dimension ref="A2:E52"/>
  <sheetViews>
    <sheetView workbookViewId="0">
      <selection activeCell="D3" sqref="D3:E6"/>
    </sheetView>
  </sheetViews>
  <sheetFormatPr defaultRowHeight="14.4" x14ac:dyDescent="0.3"/>
  <cols>
    <col min="1" max="1" width="36.21875" bestFit="1" customWidth="1"/>
    <col min="4" max="4" width="26.33203125" bestFit="1" customWidth="1"/>
    <col min="5" max="5" width="14.6640625" bestFit="1" customWidth="1"/>
  </cols>
  <sheetData>
    <row r="2" spans="1:5" x14ac:dyDescent="0.3">
      <c r="A2" s="13" t="s">
        <v>24</v>
      </c>
    </row>
    <row r="3" spans="1:5" x14ac:dyDescent="0.3">
      <c r="A3" t="s">
        <v>25</v>
      </c>
      <c r="D3" t="s">
        <v>21</v>
      </c>
      <c r="E3" t="s">
        <v>85</v>
      </c>
    </row>
    <row r="4" spans="1:5" x14ac:dyDescent="0.3">
      <c r="A4" t="s">
        <v>26</v>
      </c>
      <c r="D4" t="str">
        <f>' INFORMES'!D11</f>
        <v>218 - Banco Bonsucesso</v>
      </c>
      <c r="E4" s="24">
        <f>' INFORMES'!D12</f>
        <v>80000000</v>
      </c>
    </row>
    <row r="5" spans="1:5" x14ac:dyDescent="0.3">
      <c r="A5" t="s">
        <v>27</v>
      </c>
      <c r="D5" t="str">
        <f>' INFORMES'!D16</f>
        <v>208 - Banco BTG Pactual</v>
      </c>
      <c r="E5" s="24">
        <f>' INFORMES'!D17</f>
        <v>50000000</v>
      </c>
    </row>
    <row r="6" spans="1:5" x14ac:dyDescent="0.3">
      <c r="A6" t="s">
        <v>28</v>
      </c>
      <c r="D6" t="str">
        <f>' INFORMES'!D21</f>
        <v>212 - Banco Original</v>
      </c>
      <c r="E6" s="24">
        <f>' INFORMES'!D22</f>
        <v>40000000</v>
      </c>
    </row>
    <row r="7" spans="1:5" x14ac:dyDescent="0.3">
      <c r="A7" t="s">
        <v>29</v>
      </c>
    </row>
    <row r="8" spans="1:5" x14ac:dyDescent="0.3">
      <c r="A8" t="s">
        <v>30</v>
      </c>
    </row>
    <row r="9" spans="1:5" x14ac:dyDescent="0.3">
      <c r="A9" t="s">
        <v>31</v>
      </c>
    </row>
    <row r="10" spans="1:5" x14ac:dyDescent="0.3">
      <c r="A10" t="s">
        <v>32</v>
      </c>
    </row>
    <row r="11" spans="1:5" x14ac:dyDescent="0.3">
      <c r="A11" t="s">
        <v>33</v>
      </c>
    </row>
    <row r="12" spans="1:5" x14ac:dyDescent="0.3">
      <c r="A12" t="s">
        <v>34</v>
      </c>
    </row>
    <row r="13" spans="1:5" x14ac:dyDescent="0.3">
      <c r="A13" t="s">
        <v>35</v>
      </c>
    </row>
    <row r="14" spans="1:5" x14ac:dyDescent="0.3">
      <c r="A14" t="s">
        <v>36</v>
      </c>
    </row>
    <row r="15" spans="1:5" x14ac:dyDescent="0.3">
      <c r="A15" t="s">
        <v>37</v>
      </c>
    </row>
    <row r="16" spans="1:5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 INFORMES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souza</dc:creator>
  <cp:lastModifiedBy>vitor souza</cp:lastModifiedBy>
  <dcterms:created xsi:type="dcterms:W3CDTF">2026-10-14T05:58:29Z</dcterms:created>
  <dcterms:modified xsi:type="dcterms:W3CDTF">2026-10-19T00:20:46Z</dcterms:modified>
</cp:coreProperties>
</file>